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amp64\www\gsc-systems\formatos\sri\"/>
    </mc:Choice>
  </mc:AlternateContent>
  <xr:revisionPtr revIDLastSave="0" documentId="13_ncr:1_{84569495-428D-4BB7-B2A6-904C0E4606A0}" xr6:coauthVersionLast="47" xr6:coauthVersionMax="47" xr10:uidLastSave="{00000000-0000-0000-0000-000000000000}"/>
  <bookViews>
    <workbookView xWindow="-120" yWindow="-120" windowWidth="29040" windowHeight="15720" tabRatio="434" xr2:uid="{00000000-000D-0000-FFFF-FFFF00000000}"/>
  </bookViews>
  <sheets>
    <sheet name="FORM104" sheetId="10" r:id="rId1"/>
  </sheets>
  <definedNames>
    <definedName name="_xlnm._FilterDatabase" localSheetId="0" hidden="1">FORM104!#REF!</definedName>
  </definedNames>
  <calcPr calcId="191029" iterateDelta="1E-4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58" i="10" l="1"/>
  <c r="N30" i="10"/>
  <c r="N32" i="10"/>
  <c r="N64" i="10"/>
  <c r="N65" i="10"/>
  <c r="N85" i="10"/>
  <c r="N87" i="10"/>
  <c r="N107" i="10"/>
  <c r="N126" i="10"/>
  <c r="N129" i="10"/>
  <c r="N105" i="10"/>
  <c r="N102" i="10"/>
  <c r="N57" i="10"/>
  <c r="N50" i="10"/>
  <c r="L50" i="10"/>
  <c r="J50" i="10"/>
  <c r="N31" i="10"/>
  <c r="N28" i="10"/>
  <c r="N26" i="10"/>
  <c r="N19" i="10"/>
  <c r="L19" i="10"/>
  <c r="J19" i="10"/>
</calcChain>
</file>

<file path=xl/sharedStrings.xml><?xml version="1.0" encoding="utf-8"?>
<sst xmlns="http://schemas.openxmlformats.org/spreadsheetml/2006/main" count="330" uniqueCount="279">
  <si>
    <t>RESUMEN DE VENTAS Y OTRAS OPERACIONES DEL PERÍODO QUE DECLARA</t>
  </si>
  <si>
    <t>VALOR BRUTO</t>
  </si>
  <si>
    <t>IMPUESTO GENERADO</t>
  </si>
  <si>
    <t>TOTAL VENTAS Y OTRAS OPERACIONES</t>
  </si>
  <si>
    <t>LIQUIDACIÓN DEL IVA EN EL MES</t>
  </si>
  <si>
    <t>RESUMEN DE ADQUISICIONES Y PAGOS DEL PERÍODO QUE DECLARA</t>
  </si>
  <si>
    <t xml:space="preserve">TOTAL ADQUISICIONES Y PAGOS </t>
  </si>
  <si>
    <t>RESUMEN IMPOSITIVO: AGENTE DE PERCEPCIÓN DEL IMPUESTO AL VALOR AGREGADO</t>
  </si>
  <si>
    <t>SUBTOTAL A PAGAR</t>
  </si>
  <si>
    <t>AGENTE DE RETENCIÓN DEL IMPUESTO AL VALOR AGREGADO</t>
  </si>
  <si>
    <t xml:space="preserve">TOTAL IMPUESTO RETENIDO </t>
  </si>
  <si>
    <t>TOTAL CONSOLIDADO DE IMPUESTO AL VALOR AGREGADO</t>
  </si>
  <si>
    <t>TOTAL IMPUESTO A PAGAR</t>
  </si>
  <si>
    <t>TOTAL PAGADO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</si>
  <si>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</si>
  <si>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</si>
  <si>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</si>
  <si>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</si>
  <si>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</si>
  <si>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</si>
  <si>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</si>
  <si>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</si>
  <si>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</si>
  <si>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</si>
  <si>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531</t>
  </si>
  <si>
    <t>532</t>
  </si>
  <si>
    <t>535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</si>
  <si>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</si>
  <si>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</si>
  <si>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</si>
  <si>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</si>
  <si>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</si>
  <si>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</si>
  <si>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</si>
  <si>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</si>
  <si>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</si>
  <si>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431</t>
  </si>
  <si>
    <t>434</t>
  </si>
  <si>
    <t>484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</si>
  <si>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</si>
  <si>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</si>
  <si>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</si>
  <si>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</si>
  <si>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</si>
  <si>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</si>
  <si>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</si>
  <si>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</si>
  <si>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</si>
  <si>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</si>
  <si>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541</t>
  </si>
  <si>
    <t>542</t>
  </si>
  <si>
    <t>543</t>
  </si>
  <si>
    <t>544</t>
  </si>
  <si>
    <t>545</t>
  </si>
  <si>
    <t>520</t>
  </si>
  <si>
    <t>521</t>
  </si>
  <si>
    <t>522</t>
  </si>
  <si>
    <t>523</t>
  </si>
  <si>
    <t>524</t>
  </si>
  <si>
    <t>525</t>
  </si>
  <si>
    <t>526</t>
  </si>
  <si>
    <t>527</t>
  </si>
  <si>
    <t>529</t>
  </si>
  <si>
    <t>554</t>
  </si>
  <si>
    <t>555</t>
  </si>
  <si>
    <t>499</t>
  </si>
  <si>
    <t>485</t>
  </si>
  <si>
    <t>483</t>
  </si>
  <si>
    <t>482</t>
  </si>
  <si>
    <t>481</t>
  </si>
  <si>
    <t>480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</si>
  <si>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</si>
  <si>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</si>
  <si>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</si>
  <si>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</si>
  <si>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</si>
  <si>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</si>
  <si>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</si>
  <si>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</si>
  <si>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</si>
  <si>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441</t>
  </si>
  <si>
    <t>442</t>
  </si>
  <si>
    <t>443</t>
  </si>
  <si>
    <t>444</t>
  </si>
  <si>
    <t>421</t>
  </si>
  <si>
    <t>422</t>
  </si>
  <si>
    <t>423</t>
  </si>
  <si>
    <t>424</t>
  </si>
  <si>
    <t>429</t>
  </si>
  <si>
    <t>453</t>
  </si>
  <si>
    <t>454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</si>
  <si>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</si>
  <si>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</si>
  <si>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</si>
  <si>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</si>
  <si>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</si>
  <si>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</si>
  <si>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</si>
  <si>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</si>
  <si>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</si>
  <si>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</si>
  <si>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</si>
  <si>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</si>
  <si>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</si>
  <si>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</si>
  <si>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</si>
  <si>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617</t>
  </si>
  <si>
    <t>618</t>
  </si>
  <si>
    <t>619</t>
  </si>
  <si>
    <t>620</t>
  </si>
  <si>
    <t>621</t>
  </si>
  <si>
    <t>699</t>
  </si>
  <si>
    <t>563</t>
  </si>
  <si>
    <t>564</t>
  </si>
  <si>
    <t>721</t>
  </si>
  <si>
    <t>723</t>
  </si>
  <si>
    <t>725</t>
  </si>
  <si>
    <t>727</t>
  </si>
  <si>
    <t>729</t>
  </si>
  <si>
    <t>731</t>
  </si>
  <si>
    <t>799</t>
  </si>
  <si>
    <t>800</t>
  </si>
  <si>
    <t>801</t>
  </si>
  <si>
    <t>859</t>
  </si>
  <si>
    <t>902</t>
  </si>
  <si>
    <t>903</t>
  </si>
  <si>
    <t>904</t>
  </si>
  <si>
    <t>999</t>
  </si>
  <si>
    <t>880</t>
  </si>
  <si>
    <t>115</t>
  </si>
  <si>
    <t>117</t>
  </si>
  <si>
    <t>119</t>
  </si>
  <si>
    <t>TOTAL IMPUESTO A PAGAR POR RETENCIÓN</t>
  </si>
  <si>
    <t>Ventas locales (excluye activos fijos) gravadas tarifa diferente de cero</t>
  </si>
  <si>
    <t>Ventas de activos fijos gravadas tarifa diferente de cero</t>
  </si>
  <si>
    <t>Ventas locales (excluye activos fijos) gravadas tarifa 0% que no dan derecho a crédito tributario</t>
  </si>
  <si>
    <t>Ventas de activos fijos gravadas tarifa 0% que no dan derecho a crédito tributario</t>
  </si>
  <si>
    <t>Ventas locales (excluye activos fijos) gravadas tarifa 0% que dan derecho a crédito tributario</t>
  </si>
  <si>
    <t>Ventas de activos fijos gravadas tarifa 0% que dan derecho a crédito tributario</t>
  </si>
  <si>
    <t>Exportaciones de bienes</t>
  </si>
  <si>
    <t>Exportaciones de servicios y/o derechos</t>
  </si>
  <si>
    <t>Transferencias no objeto o exentas de IVA</t>
  </si>
  <si>
    <t xml:space="preserve">Notas de crédito tarifa 0% por compensar próximo mes </t>
  </si>
  <si>
    <t>Notas de crédito tarifa diferente de cero por compensar próximo mes</t>
  </si>
  <si>
    <t>Adquisiciones y pagos (excluye activos fijos) gravados tarifa diferente de cero (con derecho a crédito tributario)</t>
  </si>
  <si>
    <t>Otras adquisiciones y pagos gravados tarifa diferente de cero (sin derecho a crédito tributario)</t>
  </si>
  <si>
    <t>Importaciones de servicios y/o derechos gravados tarifa diferente de cero</t>
  </si>
  <si>
    <t>Importaciones de bienes (excluye activos fijos) gravados tarifa diferente de cero</t>
  </si>
  <si>
    <t>Importaciones de activos fijos gravados tarifa diferente de cero</t>
  </si>
  <si>
    <t>IVA generado en la diferencia entre adquisiciones y notas de crédito con distinta tarifa (ajuste en positivo al crédito tributario)</t>
  </si>
  <si>
    <t>IVA generado en la diferencia entre adquisiciones y notas de crédito con distinta tarifa (ajuste en negativo al crédito tributario)</t>
  </si>
  <si>
    <t>Importaciones de bienes (incluye activos fijos) gravados tarifa 0%</t>
  </si>
  <si>
    <t>Adquisiciones y pagos (incluye activos fijos) gravados tarifa 0%</t>
  </si>
  <si>
    <t>Adquisiciones no objeto de IVA</t>
  </si>
  <si>
    <t>Adquisiciones exentas del pago de IVA</t>
  </si>
  <si>
    <t>Notas de crédito tarifa 0% por compensar próximo mes</t>
  </si>
  <si>
    <t>Notas de crédito tarifa  diferente de cero por compensar próximo mes</t>
  </si>
  <si>
    <t>Factor de proporcionalidad para crédito tributario</t>
  </si>
  <si>
    <t>Total comprobantes de venta recibidos por adquisiciones y pagos (excepto notas de venta)</t>
  </si>
  <si>
    <t>Total liquidaciones de compra emitidas (por pagos tarifa 0% de IVA, o por reembolsos en relación de dependencia)</t>
  </si>
  <si>
    <t>(-) Saldo crédito tributario del mes anterior</t>
  </si>
  <si>
    <t>(+) Ajuste por IVA devuelto por otras instituciones del sector público imputable al crédito tributario en el mes</t>
  </si>
  <si>
    <t>Saldo crédito tributario para el próximo mes</t>
  </si>
  <si>
    <t>Retención del 10%</t>
  </si>
  <si>
    <t>Retención del 20%</t>
  </si>
  <si>
    <t>Retención del 30%</t>
  </si>
  <si>
    <t>Retención del 50%</t>
  </si>
  <si>
    <t>Retención del 70%</t>
  </si>
  <si>
    <t>Retención del 100%</t>
  </si>
  <si>
    <t>Pago previo</t>
  </si>
  <si>
    <t>Pago directo en cuenta única del tesoro nacional (uso exclusivo para instituciones y empresas del sector público autorizadas)</t>
  </si>
  <si>
    <t>Interés por mora</t>
  </si>
  <si>
    <t>Multa</t>
  </si>
  <si>
    <t>Total transferencias gravadas tarifa diferente de cero a contado este mes</t>
  </si>
  <si>
    <t>Total transferencias gravadas tarifa diferente de cero a crédito este mes</t>
  </si>
  <si>
    <t>Impuesto a liquidar en este mes</t>
  </si>
  <si>
    <t>Total comprobantes de venta emitidos</t>
  </si>
  <si>
    <t>Total comprobantes de venta anulados</t>
  </si>
  <si>
    <t>(-) Retenciones en la fuente de IVA que le han sido efectuadas en este período</t>
  </si>
  <si>
    <t>(+) Ajuste por IVA devuelto o descontado en adquisiciones efectuadas en zonas afectadas - Ley de solidaridad</t>
  </si>
  <si>
    <t>Devolución provisional de IVA mediante compensación con retenciones efectuadas</t>
  </si>
  <si>
    <t>(+) Ajuste por IVA devuelto o descontado por adquisiciones efectuadas con medio electrónico</t>
  </si>
  <si>
    <t>111</t>
  </si>
  <si>
    <t>113</t>
  </si>
  <si>
    <t>IVA generado en la diferencia entre ventas y notas de crédito con distinta tarifa (ajuste a pagar)</t>
  </si>
  <si>
    <t>IVA generado en la diferencia entre ventas y notas de crédito con distinta tarifa (ajuste a favor)</t>
  </si>
  <si>
    <t>Total impuesto generado</t>
  </si>
  <si>
    <t>Impuesto a liquidar del mes anterior</t>
  </si>
  <si>
    <t>(trasládese el campo 485 de la declaración del período anterior)</t>
  </si>
  <si>
    <t>(trasládese campo 429)</t>
  </si>
  <si>
    <t>Impuesto a liquidar en el próximo mes</t>
  </si>
  <si>
    <t>TOTAL IMPUESTO A LIQUIDAR EN ESTE MES</t>
  </si>
  <si>
    <t xml:space="preserve">Adquisiciones locales de activos fijos gravados tarifa diferente de cero (con derecho a crédito tributario) </t>
  </si>
  <si>
    <t>Total notas de venta recibidas</t>
  </si>
  <si>
    <t>(trasládese el campo 615 de la declaración del período anterior)</t>
  </si>
  <si>
    <t>(trasládese el campo 617 de la declaración del período anterior)</t>
  </si>
  <si>
    <t>(trasládese el campo 618 de la declaración del período anterior)</t>
  </si>
  <si>
    <t>(trasládese el campo 619 de la declaración del período anterior)</t>
  </si>
  <si>
    <t>Impuesto causado</t>
  </si>
  <si>
    <t>Crédito tributario aplicable en este período</t>
  </si>
  <si>
    <t>(si la diferencia de los campos 499-564 es mayor que cero)</t>
  </si>
  <si>
    <t>(si la diferencia de los campos 499-564 es menor que cero)</t>
  </si>
  <si>
    <t>482-484</t>
  </si>
  <si>
    <t>483+484</t>
  </si>
  <si>
    <t>(411+412+415+416+417+418) / 419</t>
  </si>
  <si>
    <t>Si (601-602-603-604-605-606-607-608-609+610+611+612+613+614) &gt; 0</t>
  </si>
  <si>
    <t>620+621</t>
  </si>
  <si>
    <t>721+723+725+727+729+731</t>
  </si>
  <si>
    <t>Detalle de imputación al pago (para declaraciones sustitutivas)</t>
  </si>
  <si>
    <t>890</t>
  </si>
  <si>
    <t>897</t>
  </si>
  <si>
    <t>898</t>
  </si>
  <si>
    <t>899</t>
  </si>
  <si>
    <t>Por adquisiciones e importaciones</t>
  </si>
  <si>
    <t>Por retenciones en la fuente de IVA que le han sido efectuadas</t>
  </si>
  <si>
    <t>Por compensación de IVA por ventas efectuadas con medio  electrónico</t>
  </si>
  <si>
    <t xml:space="preserve">Por adquisiciones e importaciones    </t>
  </si>
  <si>
    <t>Por compensación de IVA por ventas efectuadas con medio electrónico</t>
  </si>
  <si>
    <t>Interés</t>
  </si>
  <si>
    <t>Impuesto</t>
  </si>
  <si>
    <t>VALORES A PAGAR  (luego de imputación al pago en declaraciones sustitutivas)</t>
  </si>
  <si>
    <t>VALOR NETO</t>
  </si>
  <si>
    <t>(VALOR BRUTO - N/C)</t>
  </si>
  <si>
    <r>
      <t>Crédito tributario aplicable en este período (de acuerdo al factor de proporcionalidad o a su contabilidad)</t>
    </r>
    <r>
      <rPr>
        <sz val="10"/>
        <rFont val="Calibri"/>
        <family val="2"/>
        <scheme val="minor"/>
      </rPr>
      <t xml:space="preserve"> (520+521+523+524+525+526-527) x 563</t>
    </r>
  </si>
  <si>
    <t>.</t>
  </si>
  <si>
    <t>(+) Ajuste por IVA devuelto e IVA rechazado, ajuste de IVA por procesos de control y otros (por concepto retenciones en la fuente de IVA), imputables al crédito tributario</t>
  </si>
  <si>
    <t>(+) Ajuste por IVA devuelto e IVA rechazado (por concepto de devoluciones de IVA), ajuste de IVA por procesos de control y otros (adquisiciones en importaciones), imputables al crédito tributario</t>
  </si>
  <si>
    <t>IMPUESTO A LA SALIDA DE DIVISAS A EFECTOS DE DEVOLUCIÓN A EXPORTADORES HABITUALES DE BIENES</t>
  </si>
  <si>
    <t>VALOR</t>
  </si>
  <si>
    <t>ISD PAGADO</t>
  </si>
  <si>
    <t>700</t>
  </si>
  <si>
    <t>701</t>
  </si>
  <si>
    <t>702</t>
  </si>
  <si>
    <t>PORCENTAJE</t>
  </si>
  <si>
    <t>DEVOLUCIÓN ISD POR EXPORTACIONES</t>
  </si>
  <si>
    <t>Proporción del ingreso neto de divisas desde el exterior al Ecuador, respecto del total de las exportaciones netas de bienes</t>
  </si>
  <si>
    <t>(-) Compensación de IVA por ventas efectuadas en zonas afectadas - Ley de solidaridad, restitución de crédito tributario en resoluciones administrativas o sentencias judiciales de última instancia</t>
  </si>
  <si>
    <t>Por compensación de IVA por ventas efectuadas en zonas afectadas - Ley de solidaridad, restitución de crédito tributario en resoluciones administrativas o sentencias judiciales de última instancia</t>
  </si>
  <si>
    <t>Importaciones de materias primas, insumos y bienes de capital que sean incorporadas en procesos productivos de bienes que se exporten</t>
  </si>
  <si>
    <t>881</t>
  </si>
  <si>
    <t>Cuota 1 del Impuesto al Valor Agregado del ejercicio fiscal 2020 (10%)</t>
  </si>
  <si>
    <t>882</t>
  </si>
  <si>
    <t>Cuota 2 del Impuesto al Valor Agregado del ejercicio fiscal 2020 (10%)</t>
  </si>
  <si>
    <t>883</t>
  </si>
  <si>
    <t>Cuota 3 del Impuesto al Valor Agregado del ejercicio fiscal 2020 (20%)</t>
  </si>
  <si>
    <t>884</t>
  </si>
  <si>
    <t>Cuota 4 del Impuesto al Valor Agregado del ejercicio fiscal 2020 (20%)</t>
  </si>
  <si>
    <t>885</t>
  </si>
  <si>
    <t>Cuota 5 del Impuesto al Valor Agregado del ejercicio fiscal 2020 (20%)</t>
  </si>
  <si>
    <t>886</t>
  </si>
  <si>
    <t>Cuota 6 del Impuesto al Valor Agregado del ejercicio fiscal 2020 (20%)</t>
  </si>
  <si>
    <t>887</t>
  </si>
  <si>
    <t>(699+801)</t>
  </si>
  <si>
    <t>(859-898)</t>
  </si>
  <si>
    <t>¿Tiene derecho al pago diferido del IVA a pagar de este ejercicio fiscal conforme al Decreto 1021 del 2020 por la emergencia sanitaria en relación con el COVID-19?</t>
  </si>
  <si>
    <t>Ingresos por reembolso como intermediario / valores facturados por operadoras de transporte / ingresos obtenidos por parte de las sociedades de gestión colectiva como intermediarios (informativo)</t>
  </si>
  <si>
    <t>Pagos netos por reembolso como intermediario / valores facturados por socios a operadoras de transporte / pagos realizados por parte de las sociedades de gestión colectiva como intermediarios (informativo)</t>
  </si>
  <si>
    <t>(-) Compensación de IVA por ventas efectuadas con medio electrónico y/o IVA devuelto o descontado por transacciones realizadas con personas adultas mayores o personas con discapacidad</t>
  </si>
  <si>
    <t>802</t>
  </si>
  <si>
    <t>(799-800-802)</t>
  </si>
  <si>
    <t>Retenciones efectuadas y no pagadas sector público, universidades y escuelas politécnicas</t>
  </si>
  <si>
    <t>IVA PRESUNTIVO DE SALAS DE JUEGO (BINGO MECÁNICOS) Y OTROS JUEGOS DE AZAR (Aplica para Ejercicios Anteriores al 2013), RETENCIÓN DE IVA EN VENTAS DIFERENTES PORCENTAJES (aplica para Ejercicios posteriores al 2021)</t>
  </si>
  <si>
    <t>TOTAL IMPUESTO A PAGAR POR PERCEPCIÓN Y RETENCIONES EFECTUADAS EN VENTAS (varios porcentajes)</t>
  </si>
  <si>
    <t>Adquisiciones realizadas a contribuyentes RISE (hasta diciembre 2021), NEGOCIOS POPULARES  (desde enero 2022)</t>
  </si>
  <si>
    <t>203</t>
  </si>
  <si>
    <t>410</t>
  </si>
  <si>
    <t>420</t>
  </si>
  <si>
    <t>430</t>
  </si>
  <si>
    <t>Ventas locales (excluye activos fijos) gravadas tarifa diferente de cero (TARIFA VARIABLE)</t>
  </si>
  <si>
    <t>Adquisiciones y pagos (excluye activos fijos) gravados tarifa diferente de cero (con derecho a crédito tributario tarifa variable)</t>
  </si>
  <si>
    <t>530</t>
  </si>
  <si>
    <t>533</t>
  </si>
  <si>
    <t>534</t>
  </si>
  <si>
    <t>622</t>
  </si>
  <si>
    <t>(-) IVA devuelto o descontado por transacciones realizadas con personas adultas mayores o personas con discapacidad</t>
  </si>
  <si>
    <t>Decreto ejecutivo que determina el porcentaje de tarifa reducida de IVA en la prestación de servicios definidos como actividades turísticas</t>
  </si>
  <si>
    <t>(Aplica para ventas y compras)</t>
  </si>
  <si>
    <t>VENTAS</t>
  </si>
  <si>
    <t>FORMULARIO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</si>
</sst>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.0000_);_(* \(#,##0.0000\);_(* &quot;-&quot;??_);_(@_)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rgb="FF000000"/>
      <name val="Arial"/>
      <family val="2"/>
      <charset val="1"/>
    </font>
    <font>
      <b/>
      <sz val="11"/>
      <color theme="0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DDDDDD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28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</cellStyleXfs>
  <cellXfs count="61">
    <xf numFmtId="0" fontId="0" fillId="0" borderId="0" xfId="0"/>
    <xf numFmtId="0" fontId="4" fillId="2" borderId="1" xfId="0" applyFont="1" applyFill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49" fontId="6" fillId="4" borderId="1" xfId="0" applyNumberFormat="1" applyFont="1" applyFill="1" applyBorder="1" applyAlignment="1" applyProtection="1">
      <alignment horizontal="center"/>
      <protection locked="0"/>
    </xf>
    <xf numFmtId="49" fontId="4" fillId="4" borderId="1" xfId="0" applyNumberFormat="1" applyFont="1" applyFill="1" applyBorder="1" applyAlignment="1" applyProtection="1">
      <alignment horizontal="center"/>
      <protection locked="0"/>
    </xf>
    <xf numFmtId="49" fontId="6" fillId="6" borderId="1" xfId="0" applyNumberFormat="1" applyFont="1" applyFill="1" applyBorder="1" applyAlignment="1" applyProtection="1">
      <alignment horizontal="center"/>
      <protection locked="0"/>
    </xf>
    <xf numFmtId="49" fontId="7" fillId="5" borderId="1" xfId="0" applyNumberFormat="1" applyFont="1" applyFill="1" applyBorder="1" applyAlignment="1" applyProtection="1">
      <alignment horizontal="center"/>
      <protection locked="0"/>
    </xf>
    <xf numFmtId="0" fontId="6" fillId="6" borderId="1" xfId="0" applyFont="1" applyFill="1" applyBorder="1" applyAlignment="1">
      <alignment horizontal="right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4" fillId="7" borderId="1" xfId="0" applyFont="1" applyFill="1" applyBorder="1" applyAlignment="1">
      <alignment horizontal="right"/>
    </xf>
    <xf numFmtId="165" fontId="4" fillId="7" borderId="1" xfId="4" applyNumberFormat="1" applyFont="1" applyFill="1" applyBorder="1" applyAlignment="1" applyProtection="1">
      <alignment horizontal="right"/>
    </xf>
    <xf numFmtId="0" fontId="6" fillId="7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right"/>
    </xf>
    <xf numFmtId="49" fontId="4" fillId="4" borderId="3" xfId="0" applyNumberFormat="1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right"/>
      <protection locked="0"/>
    </xf>
    <xf numFmtId="0" fontId="13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right"/>
      <protection locked="0"/>
    </xf>
    <xf numFmtId="0" fontId="14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>
      <alignment horizontal="center"/>
    </xf>
    <xf numFmtId="0" fontId="6" fillId="0" borderId="2" xfId="0" applyFont="1" applyBorder="1" applyAlignment="1" applyProtection="1">
      <alignment horizontal="left"/>
      <protection locked="0"/>
    </xf>
    <xf numFmtId="0" fontId="6" fillId="0" borderId="3" xfId="0" applyFont="1" applyBorder="1" applyAlignment="1" applyProtection="1">
      <alignment horizontal="left"/>
      <protection locked="0"/>
    </xf>
    <xf numFmtId="0" fontId="4" fillId="2" borderId="2" xfId="0" applyFont="1" applyFill="1" applyBorder="1" applyAlignment="1" applyProtection="1">
      <alignment horizontal="left"/>
      <protection locked="0"/>
    </xf>
    <xf numFmtId="0" fontId="4" fillId="2" borderId="3" xfId="0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 applyProtection="1">
      <alignment horizontal="right"/>
      <protection locked="0"/>
    </xf>
    <xf numFmtId="0" fontId="6" fillId="2" borderId="1" xfId="0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 applyProtection="1">
      <alignment horizontal="left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/>
      <protection locked="0"/>
    </xf>
    <xf numFmtId="0" fontId="8" fillId="3" borderId="1" xfId="0" applyFont="1" applyFill="1" applyBorder="1" applyAlignment="1" applyProtection="1">
      <alignment horizontal="left"/>
      <protection locked="0"/>
    </xf>
    <xf numFmtId="0" fontId="8" fillId="3" borderId="1" xfId="0" applyFont="1" applyFill="1" applyBorder="1" applyAlignment="1" applyProtection="1">
      <alignment horizontal="center"/>
      <protection locked="0"/>
    </xf>
    <xf numFmtId="0" fontId="7" fillId="5" borderId="1" xfId="0" applyFont="1" applyFill="1" applyBorder="1" applyAlignment="1" applyProtection="1">
      <alignment horizontal="left" vertical="center"/>
      <protection locked="0"/>
    </xf>
    <xf numFmtId="0" fontId="6" fillId="6" borderId="1" xfId="0" applyFont="1" applyFill="1" applyBorder="1" applyAlignment="1" applyProtection="1">
      <alignment horizontal="left"/>
      <protection locked="0"/>
    </xf>
    <xf numFmtId="0" fontId="4" fillId="6" borderId="1" xfId="0" applyFont="1" applyFill="1" applyBorder="1" applyAlignment="1" applyProtection="1">
      <alignment horizontal="right"/>
      <protection locked="0"/>
    </xf>
    <xf numFmtId="0" fontId="7" fillId="5" borderId="1" xfId="0" applyFont="1" applyFill="1" applyBorder="1" applyAlignment="1" applyProtection="1">
      <alignment horizontal="center"/>
      <protection locked="0"/>
    </xf>
    <xf numFmtId="49" fontId="7" fillId="5" borderId="1" xfId="0" applyNumberFormat="1" applyFont="1" applyFill="1" applyBorder="1" applyAlignment="1" applyProtection="1">
      <alignment horizontal="left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5" borderId="1" xfId="0" applyFont="1" applyFill="1" applyBorder="1" applyAlignment="1" applyProtection="1">
      <alignment horizontal="center" vertical="top"/>
      <protection locked="0"/>
    </xf>
    <xf numFmtId="0" fontId="7" fillId="5" borderId="1" xfId="0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left" vertical="center"/>
      <protection locked="0"/>
    </xf>
    <xf numFmtId="0" fontId="4" fillId="2" borderId="3" xfId="0" applyFont="1" applyFill="1" applyBorder="1" applyAlignment="1" applyProtection="1">
      <alignment horizontal="left" vertical="center"/>
      <protection locked="0"/>
    </xf>
    <xf numFmtId="0" fontId="4" fillId="2" borderId="4" xfId="0" applyFont="1" applyFill="1" applyBorder="1" applyAlignment="1" applyProtection="1">
      <alignment horizontal="left" vertical="center"/>
      <protection locked="0"/>
    </xf>
    <xf numFmtId="0" fontId="8" fillId="5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Alignment="1" applyProtection="1">
      <alignment horizontal="left" vertical="top" wrapText="1"/>
      <protection locked="0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left" wrapText="1"/>
      <protection locked="0"/>
    </xf>
    <xf numFmtId="0" fontId="4" fillId="2" borderId="1" xfId="0" applyFont="1" applyFill="1" applyBorder="1" applyAlignment="1" applyProtection="1">
      <alignment horizontal="right" vertical="center" wrapText="1"/>
      <protection locked="0"/>
    </xf>
    <xf numFmtId="0" fontId="4" fillId="6" borderId="1" xfId="0" applyFont="1" applyFill="1" applyBorder="1" applyAlignment="1" applyProtection="1">
      <alignment horizontal="right" vertical="center" wrapText="1"/>
      <protection locked="0"/>
    </xf>
    <xf numFmtId="0" fontId="6" fillId="6" borderId="1" xfId="0" applyFont="1" applyFill="1" applyBorder="1" applyAlignment="1" applyProtection="1">
      <alignment horizontal="left" vertical="center" wrapText="1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</cellXfs>
  <cellStyles count="28">
    <cellStyle name="Millares" xfId="4" builtinId="3"/>
    <cellStyle name="Millares 2" xfId="2" xr:uid="{00000000-0005-0000-0000-000001000000}"/>
    <cellStyle name="Normal" xfId="0" builtinId="0"/>
    <cellStyle name="Normal 2" xfId="1" xr:uid="{00000000-0005-0000-0000-000003000000}"/>
    <cellStyle name="Normal 2 10" xfId="13" xr:uid="{00000000-0005-0000-0000-000004000000}"/>
    <cellStyle name="Normal 2 11" xfId="14" xr:uid="{00000000-0005-0000-0000-000005000000}"/>
    <cellStyle name="Normal 2 12" xfId="15" xr:uid="{00000000-0005-0000-0000-000006000000}"/>
    <cellStyle name="Normal 2 12 2" xfId="21" xr:uid="{00000000-0005-0000-0000-000007000000}"/>
    <cellStyle name="Normal 2 12 3" xfId="27" xr:uid="{00000000-0005-0000-0000-000008000000}"/>
    <cellStyle name="Normal 2 13" xfId="23" xr:uid="{00000000-0005-0000-0000-000009000000}"/>
    <cellStyle name="Normal 2 14" xfId="25" xr:uid="{00000000-0005-0000-0000-00000A000000}"/>
    <cellStyle name="Normal 2 15" xfId="20" xr:uid="{00000000-0005-0000-0000-00000B000000}"/>
    <cellStyle name="Normal 2 2" xfId="3" xr:uid="{00000000-0005-0000-0000-00000C000000}"/>
    <cellStyle name="Normal 2 3" xfId="6" xr:uid="{00000000-0005-0000-0000-00000D000000}"/>
    <cellStyle name="Normal 2 3 2" xfId="16" xr:uid="{00000000-0005-0000-0000-00000E000000}"/>
    <cellStyle name="Normal 2 3 2 2" xfId="17" xr:uid="{00000000-0005-0000-0000-00000F000000}"/>
    <cellStyle name="Normal 2 3 2 3" xfId="18" xr:uid="{00000000-0005-0000-0000-000010000000}"/>
    <cellStyle name="Normal 2 3 3" xfId="22" xr:uid="{00000000-0005-0000-0000-000011000000}"/>
    <cellStyle name="Normal 2 3 4" xfId="24" xr:uid="{00000000-0005-0000-0000-000012000000}"/>
    <cellStyle name="Normal 2 3 5" xfId="26" xr:uid="{00000000-0005-0000-0000-000013000000}"/>
    <cellStyle name="Normal 2 3 6" xfId="19" xr:uid="{00000000-0005-0000-0000-000014000000}"/>
    <cellStyle name="Normal 2 4" xfId="7" xr:uid="{00000000-0005-0000-0000-000015000000}"/>
    <cellStyle name="Normal 2 5" xfId="8" xr:uid="{00000000-0005-0000-0000-000016000000}"/>
    <cellStyle name="Normal 2 6" xfId="9" xr:uid="{00000000-0005-0000-0000-000017000000}"/>
    <cellStyle name="Normal 2 7" xfId="10" xr:uid="{00000000-0005-0000-0000-000018000000}"/>
    <cellStyle name="Normal 2 8" xfId="11" xr:uid="{00000000-0005-0000-0000-000019000000}"/>
    <cellStyle name="Normal 2 9" xfId="12" xr:uid="{00000000-0005-0000-0000-00001A000000}"/>
    <cellStyle name="TableStyleLight1" xfId="5" xr:uid="{00000000-0005-0000-0000-00001B000000}"/>
  </cellStyles>
  <dxfs count="0"/>
  <tableStyles count="0" defaultTableStyle="TableStyleMedium9" defaultPivotStyle="PivotStyleLight16"/>
  <colors>
    <mruColors>
      <color rgb="FFFF9933"/>
      <color rgb="FFFFCC00"/>
      <color rgb="FF99CCFF"/>
      <color rgb="FFCCECFF"/>
      <color rgb="FFFFCC66"/>
      <color rgb="FF666699"/>
      <color rgb="FF0000FF"/>
      <color rgb="FFFFFFCC"/>
      <color rgb="FF003399"/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7">
    <pageSetUpPr fitToPage="1"/>
  </sheetPr>
  <dimension ref="A1:O130"/>
  <sheetViews>
    <sheetView tabSelected="1" zoomScale="90" zoomScaleNormal="90" workbookViewId="0">
      <selection activeCell="L2" sqref="L2:N2"/>
    </sheetView>
  </sheetViews>
  <sheetFormatPr baseColWidth="10" defaultColWidth="0" defaultRowHeight="12.75" zeroHeight="1" x14ac:dyDescent="0.2"/>
  <cols>
    <col min="1" max="6" width="11.42578125" style="10" customWidth="1"/>
    <col min="7" max="7" width="13.140625" style="10" customWidth="1"/>
    <col min="8" max="8" width="39.85546875" style="10" customWidth="1"/>
    <col min="9" max="9" width="15.140625" style="10" customWidth="1"/>
    <col min="10" max="11" width="13.140625" style="10" customWidth="1"/>
    <col min="12" max="12" width="14.28515625" style="10" customWidth="1"/>
    <col min="13" max="13" width="11.5703125" style="10" bestFit="1" customWidth="1"/>
    <col min="14" max="14" width="14" style="10" bestFit="1" customWidth="1"/>
    <col min="15" max="15" width="7.140625" style="2" customWidth="1"/>
    <col min="16" max="16384" width="11.42578125" style="2" hidden="1"/>
  </cols>
  <sheetData>
    <row r="1" spans="1:14" ht="17.25" customHeight="1" x14ac:dyDescent="0.25">
      <c r="A1" s="19"/>
      <c r="B1" s="19"/>
      <c r="C1" s="19"/>
      <c r="D1" s="19"/>
      <c r="K1" s="20"/>
      <c r="L1" s="20"/>
      <c r="M1" s="20"/>
      <c r="N1" s="20"/>
    </row>
    <row r="2" spans="1:14" ht="21" x14ac:dyDescent="0.35">
      <c r="A2" s="22" t="s">
        <v>278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s="17" customFormat="1" ht="18.75" x14ac:dyDescent="0.25">
      <c r="A3" s="21"/>
      <c r="B3" s="21"/>
      <c r="C3" s="21"/>
      <c r="D3" s="21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ht="15" x14ac:dyDescent="0.2">
      <c r="A4" s="53" t="s">
        <v>275</v>
      </c>
      <c r="B4" s="53"/>
      <c r="C4" s="53"/>
      <c r="D4" s="53"/>
      <c r="E4" s="53"/>
      <c r="F4" s="53"/>
      <c r="G4" s="53"/>
      <c r="H4" s="53"/>
      <c r="I4" s="53"/>
      <c r="J4" s="53"/>
      <c r="K4" s="54" t="s">
        <v>276</v>
      </c>
      <c r="L4" s="54"/>
      <c r="M4" s="4" t="s">
        <v>264</v>
      </c>
      <c r="N4" s="1"/>
    </row>
    <row r="5" spans="1:14" ht="15" x14ac:dyDescent="0.2">
      <c r="A5" s="59" t="s">
        <v>277</v>
      </c>
      <c r="B5" s="59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</row>
    <row r="6" spans="1:14" x14ac:dyDescent="0.2">
      <c r="A6" s="39" t="s">
        <v>0</v>
      </c>
      <c r="B6" s="39"/>
      <c r="C6" s="39"/>
      <c r="D6" s="39"/>
      <c r="E6" s="39"/>
      <c r="F6" s="39"/>
      <c r="G6" s="39"/>
      <c r="H6" s="39"/>
      <c r="I6" s="31" t="s">
        <v>1</v>
      </c>
      <c r="J6" s="31"/>
      <c r="K6" s="38" t="s">
        <v>221</v>
      </c>
      <c r="L6" s="38"/>
      <c r="M6" s="31" t="s">
        <v>2</v>
      </c>
      <c r="N6" s="31"/>
    </row>
    <row r="7" spans="1:14" x14ac:dyDescent="0.2">
      <c r="A7" s="40" t="s">
        <v>224</v>
      </c>
      <c r="B7" s="40"/>
      <c r="C7" s="40"/>
      <c r="D7" s="40"/>
      <c r="E7" s="40"/>
      <c r="F7" s="40"/>
      <c r="G7" s="40"/>
      <c r="H7" s="40"/>
      <c r="I7" s="40"/>
      <c r="J7" s="40"/>
      <c r="K7" s="42" t="s">
        <v>222</v>
      </c>
      <c r="L7" s="42"/>
      <c r="M7" s="41" t="s">
        <v>224</v>
      </c>
      <c r="N7" s="41"/>
    </row>
    <row r="8" spans="1:14" x14ac:dyDescent="0.2">
      <c r="A8" s="29" t="s">
        <v>133</v>
      </c>
      <c r="B8" s="29"/>
      <c r="C8" s="29"/>
      <c r="D8" s="29"/>
      <c r="E8" s="29"/>
      <c r="F8" s="29"/>
      <c r="G8" s="29"/>
      <c r="H8" s="29"/>
      <c r="I8" s="4" t="s">
        <v>27</v>
      </c>
      <c r="J8" s="1"/>
      <c r="K8" s="4" t="s">
        <v>71</v>
      </c>
      <c r="L8" s="1"/>
      <c r="M8" s="4" t="s">
        <v>84</v>
      </c>
      <c r="N8" s="1"/>
    </row>
    <row r="9" spans="1:14" x14ac:dyDescent="0.2">
      <c r="A9" s="29" t="s">
        <v>134</v>
      </c>
      <c r="B9" s="29"/>
      <c r="C9" s="29"/>
      <c r="D9" s="29"/>
      <c r="E9" s="29"/>
      <c r="F9" s="29"/>
      <c r="G9" s="29"/>
      <c r="H9" s="29"/>
      <c r="I9" s="4" t="s">
        <v>28</v>
      </c>
      <c r="J9" s="1"/>
      <c r="K9" s="4" t="s">
        <v>72</v>
      </c>
      <c r="L9" s="1"/>
      <c r="M9" s="4" t="s">
        <v>85</v>
      </c>
      <c r="N9" s="1"/>
    </row>
    <row r="10" spans="1:14" x14ac:dyDescent="0.2">
      <c r="A10" s="29" t="s">
        <v>268</v>
      </c>
      <c r="B10" s="29"/>
      <c r="C10" s="29"/>
      <c r="D10" s="29"/>
      <c r="E10" s="29"/>
      <c r="F10" s="29"/>
      <c r="G10" s="29"/>
      <c r="H10" s="29"/>
      <c r="I10" s="4" t="s">
        <v>265</v>
      </c>
      <c r="J10" s="1"/>
      <c r="K10" s="4" t="s">
        <v>266</v>
      </c>
      <c r="L10" s="1"/>
      <c r="M10" s="4" t="s">
        <v>267</v>
      </c>
      <c r="N10" s="1"/>
    </row>
    <row r="11" spans="1:14" x14ac:dyDescent="0.2">
      <c r="A11" s="29" t="s">
        <v>184</v>
      </c>
      <c r="B11" s="29"/>
      <c r="C11" s="29"/>
      <c r="D11" s="29"/>
      <c r="E11" s="29"/>
      <c r="F11" s="29"/>
      <c r="G11" s="29"/>
      <c r="H11" s="29"/>
      <c r="I11" s="34" t="s">
        <v>224</v>
      </c>
      <c r="J11" s="34"/>
      <c r="K11" s="34"/>
      <c r="L11" s="34"/>
      <c r="M11" s="4" t="s">
        <v>86</v>
      </c>
      <c r="N11" s="1"/>
    </row>
    <row r="12" spans="1:14" x14ac:dyDescent="0.2">
      <c r="A12" s="29" t="s">
        <v>185</v>
      </c>
      <c r="B12" s="29"/>
      <c r="C12" s="29"/>
      <c r="D12" s="29"/>
      <c r="E12" s="29"/>
      <c r="F12" s="29"/>
      <c r="G12" s="29"/>
      <c r="H12" s="29"/>
      <c r="I12" s="34" t="s">
        <v>224</v>
      </c>
      <c r="J12" s="34"/>
      <c r="K12" s="34"/>
      <c r="L12" s="34"/>
      <c r="M12" s="4" t="s">
        <v>87</v>
      </c>
      <c r="N12" s="1"/>
    </row>
    <row r="13" spans="1:14" x14ac:dyDescent="0.2">
      <c r="A13" s="29" t="s">
        <v>135</v>
      </c>
      <c r="B13" s="29"/>
      <c r="C13" s="29"/>
      <c r="D13" s="29"/>
      <c r="E13" s="29"/>
      <c r="F13" s="29"/>
      <c r="G13" s="29"/>
      <c r="H13" s="29"/>
      <c r="I13" s="4" t="s">
        <v>29</v>
      </c>
      <c r="J13" s="1"/>
      <c r="K13" s="4" t="s">
        <v>73</v>
      </c>
      <c r="L13" s="1"/>
      <c r="M13" s="34" t="s">
        <v>224</v>
      </c>
      <c r="N13" s="34"/>
    </row>
    <row r="14" spans="1:14" x14ac:dyDescent="0.2">
      <c r="A14" s="29" t="s">
        <v>136</v>
      </c>
      <c r="B14" s="29"/>
      <c r="C14" s="29"/>
      <c r="D14" s="29"/>
      <c r="E14" s="29"/>
      <c r="F14" s="29"/>
      <c r="G14" s="29"/>
      <c r="H14" s="29"/>
      <c r="I14" s="4" t="s">
        <v>30</v>
      </c>
      <c r="J14" s="1"/>
      <c r="K14" s="4" t="s">
        <v>74</v>
      </c>
      <c r="L14" s="1"/>
      <c r="M14" s="34" t="s">
        <v>224</v>
      </c>
      <c r="N14" s="34"/>
    </row>
    <row r="15" spans="1:14" x14ac:dyDescent="0.2">
      <c r="A15" s="29" t="s">
        <v>137</v>
      </c>
      <c r="B15" s="29"/>
      <c r="C15" s="29"/>
      <c r="D15" s="29"/>
      <c r="E15" s="29"/>
      <c r="F15" s="29"/>
      <c r="G15" s="29"/>
      <c r="H15" s="29"/>
      <c r="I15" s="4" t="s">
        <v>31</v>
      </c>
      <c r="J15" s="1"/>
      <c r="K15" s="4" t="s">
        <v>75</v>
      </c>
      <c r="L15" s="1"/>
      <c r="M15" s="34" t="s">
        <v>224</v>
      </c>
      <c r="N15" s="34"/>
    </row>
    <row r="16" spans="1:14" x14ac:dyDescent="0.2">
      <c r="A16" s="29" t="s">
        <v>138</v>
      </c>
      <c r="B16" s="29"/>
      <c r="C16" s="29"/>
      <c r="D16" s="29"/>
      <c r="E16" s="29"/>
      <c r="F16" s="29"/>
      <c r="G16" s="29"/>
      <c r="H16" s="29"/>
      <c r="I16" s="4" t="s">
        <v>32</v>
      </c>
      <c r="J16" s="1"/>
      <c r="K16" s="4" t="s">
        <v>76</v>
      </c>
      <c r="L16" s="1"/>
      <c r="M16" s="34" t="s">
        <v>224</v>
      </c>
      <c r="N16" s="34"/>
    </row>
    <row r="17" spans="1:14" x14ac:dyDescent="0.2">
      <c r="A17" s="29" t="s">
        <v>139</v>
      </c>
      <c r="B17" s="29"/>
      <c r="C17" s="29"/>
      <c r="D17" s="29"/>
      <c r="E17" s="29"/>
      <c r="F17" s="29"/>
      <c r="G17" s="29"/>
      <c r="H17" s="29"/>
      <c r="I17" s="4" t="s">
        <v>33</v>
      </c>
      <c r="J17" s="1"/>
      <c r="K17" s="4" t="s">
        <v>77</v>
      </c>
      <c r="L17" s="1"/>
      <c r="M17" s="34" t="s">
        <v>224</v>
      </c>
      <c r="N17" s="34"/>
    </row>
    <row r="18" spans="1:14" x14ac:dyDescent="0.2">
      <c r="A18" s="29" t="s">
        <v>140</v>
      </c>
      <c r="B18" s="29"/>
      <c r="C18" s="29"/>
      <c r="D18" s="29"/>
      <c r="E18" s="29"/>
      <c r="F18" s="29"/>
      <c r="G18" s="29"/>
      <c r="H18" s="29"/>
      <c r="I18" s="4" t="s">
        <v>34</v>
      </c>
      <c r="J18" s="1"/>
      <c r="K18" s="4" t="s">
        <v>78</v>
      </c>
      <c r="L18" s="1"/>
      <c r="M18" s="34" t="s">
        <v>224</v>
      </c>
      <c r="N18" s="34"/>
    </row>
    <row r="19" spans="1:14" s="8" customFormat="1" x14ac:dyDescent="0.2">
      <c r="A19" s="36" t="s">
        <v>3</v>
      </c>
      <c r="B19" s="36"/>
      <c r="C19" s="36"/>
      <c r="D19" s="36"/>
      <c r="E19" s="36"/>
      <c r="F19" s="36"/>
      <c r="G19" s="36"/>
      <c r="H19" s="36"/>
      <c r="I19" s="5" t="s">
        <v>35</v>
      </c>
      <c r="J19" s="7">
        <f>J8+J9+J10+J13+J14+J15+J16+J17+J18</f>
        <v>0</v>
      </c>
      <c r="K19" s="5" t="s">
        <v>79</v>
      </c>
      <c r="L19" s="7">
        <f>L8+L9+L10+L13+L14+L15+L16+L17+L18</f>
        <v>0</v>
      </c>
      <c r="M19" s="5" t="s">
        <v>88</v>
      </c>
      <c r="N19" s="7">
        <f>N8+N9+N10+N11+N12</f>
        <v>0</v>
      </c>
    </row>
    <row r="20" spans="1:14" s="9" customFormat="1" x14ac:dyDescent="0.2">
      <c r="A20" s="55" t="s">
        <v>141</v>
      </c>
      <c r="B20" s="55"/>
      <c r="C20" s="55"/>
      <c r="D20" s="55"/>
      <c r="E20" s="55"/>
      <c r="F20" s="55"/>
      <c r="G20" s="55"/>
      <c r="H20" s="55"/>
      <c r="I20" s="4" t="s">
        <v>36</v>
      </c>
      <c r="J20" s="1"/>
      <c r="K20" s="4" t="s">
        <v>80</v>
      </c>
      <c r="L20" s="1"/>
      <c r="M20" s="32" t="s">
        <v>224</v>
      </c>
      <c r="N20" s="32"/>
    </row>
    <row r="21" spans="1:14" x14ac:dyDescent="0.2">
      <c r="A21" s="29" t="s">
        <v>142</v>
      </c>
      <c r="B21" s="29"/>
      <c r="C21" s="29"/>
      <c r="D21" s="29"/>
      <c r="E21" s="29"/>
      <c r="F21" s="29"/>
      <c r="G21" s="29"/>
      <c r="H21" s="29"/>
      <c r="I21" s="32" t="s">
        <v>224</v>
      </c>
      <c r="J21" s="32"/>
      <c r="K21" s="4" t="s">
        <v>81</v>
      </c>
      <c r="L21" s="1"/>
      <c r="M21" s="32" t="s">
        <v>224</v>
      </c>
      <c r="N21" s="32"/>
    </row>
    <row r="22" spans="1:14" x14ac:dyDescent="0.2">
      <c r="A22" s="29" t="s">
        <v>143</v>
      </c>
      <c r="B22" s="29"/>
      <c r="C22" s="29"/>
      <c r="D22" s="29"/>
      <c r="E22" s="29"/>
      <c r="F22" s="29"/>
      <c r="G22" s="29"/>
      <c r="H22" s="29"/>
      <c r="I22" s="32" t="s">
        <v>224</v>
      </c>
      <c r="J22" s="32"/>
      <c r="K22" s="4" t="s">
        <v>82</v>
      </c>
      <c r="L22" s="1"/>
      <c r="M22" s="4" t="s">
        <v>89</v>
      </c>
      <c r="N22" s="1"/>
    </row>
    <row r="23" spans="1:14" x14ac:dyDescent="0.2">
      <c r="A23" s="29" t="s">
        <v>255</v>
      </c>
      <c r="B23" s="29"/>
      <c r="C23" s="29"/>
      <c r="D23" s="29"/>
      <c r="E23" s="29"/>
      <c r="F23" s="29"/>
      <c r="G23" s="29"/>
      <c r="H23" s="29"/>
      <c r="I23" s="4" t="s">
        <v>37</v>
      </c>
      <c r="J23" s="1"/>
      <c r="K23" s="4" t="s">
        <v>83</v>
      </c>
      <c r="L23" s="1"/>
      <c r="M23" s="4" t="s">
        <v>90</v>
      </c>
      <c r="N23" s="1"/>
    </row>
    <row r="24" spans="1:14" x14ac:dyDescent="0.2">
      <c r="A24" s="34" t="s">
        <v>224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</row>
    <row r="25" spans="1:14" x14ac:dyDescent="0.2">
      <c r="A25" s="43" t="s">
        <v>4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</row>
    <row r="26" spans="1:14" x14ac:dyDescent="0.2">
      <c r="A26" s="50" t="s">
        <v>173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4" t="s">
        <v>70</v>
      </c>
      <c r="N26" s="11">
        <f>L19</f>
        <v>0</v>
      </c>
    </row>
    <row r="27" spans="1:14" x14ac:dyDescent="0.2">
      <c r="A27" s="50" t="s">
        <v>174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4" t="s">
        <v>69</v>
      </c>
      <c r="N27" s="1"/>
    </row>
    <row r="28" spans="1:14" x14ac:dyDescent="0.2">
      <c r="A28" s="50" t="s">
        <v>186</v>
      </c>
      <c r="B28" s="50"/>
      <c r="C28" s="50"/>
      <c r="D28" s="50"/>
      <c r="E28" s="50"/>
      <c r="F28" s="50"/>
      <c r="G28" s="50"/>
      <c r="H28" s="50"/>
      <c r="I28" s="56" t="s">
        <v>189</v>
      </c>
      <c r="J28" s="56"/>
      <c r="K28" s="56"/>
      <c r="L28" s="56"/>
      <c r="M28" s="4" t="s">
        <v>68</v>
      </c>
      <c r="N28" s="11">
        <f>N19</f>
        <v>0</v>
      </c>
    </row>
    <row r="29" spans="1:14" x14ac:dyDescent="0.2">
      <c r="A29" s="50" t="s">
        <v>187</v>
      </c>
      <c r="B29" s="50"/>
      <c r="C29" s="50"/>
      <c r="D29" s="50"/>
      <c r="E29" s="50"/>
      <c r="F29" s="50"/>
      <c r="G29" s="50"/>
      <c r="H29" s="50"/>
      <c r="I29" s="56" t="s">
        <v>188</v>
      </c>
      <c r="J29" s="56"/>
      <c r="K29" s="56"/>
      <c r="L29" s="56"/>
      <c r="M29" s="4" t="s">
        <v>67</v>
      </c>
      <c r="N29" s="1">
        <v>0</v>
      </c>
    </row>
    <row r="30" spans="1:14" x14ac:dyDescent="0.2">
      <c r="A30" s="51" t="s">
        <v>175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4" t="s">
        <v>38</v>
      </c>
      <c r="N30" s="1">
        <f>N28+N29</f>
        <v>0</v>
      </c>
    </row>
    <row r="31" spans="1:14" x14ac:dyDescent="0.2">
      <c r="A31" s="50" t="s">
        <v>190</v>
      </c>
      <c r="B31" s="50"/>
      <c r="C31" s="50"/>
      <c r="D31" s="50"/>
      <c r="E31" s="50"/>
      <c r="F31" s="50"/>
      <c r="G31" s="50"/>
      <c r="H31" s="50"/>
      <c r="I31" s="56" t="s">
        <v>202</v>
      </c>
      <c r="J31" s="56"/>
      <c r="K31" s="56"/>
      <c r="L31" s="56"/>
      <c r="M31" s="4" t="s">
        <v>66</v>
      </c>
      <c r="N31" s="11">
        <f>N28-N30</f>
        <v>0</v>
      </c>
    </row>
    <row r="32" spans="1:14" x14ac:dyDescent="0.2">
      <c r="A32" s="58" t="s">
        <v>191</v>
      </c>
      <c r="B32" s="58"/>
      <c r="C32" s="58"/>
      <c r="D32" s="58"/>
      <c r="E32" s="58"/>
      <c r="F32" s="58"/>
      <c r="G32" s="58"/>
      <c r="H32" s="58"/>
      <c r="I32" s="57" t="s">
        <v>203</v>
      </c>
      <c r="J32" s="57"/>
      <c r="K32" s="57"/>
      <c r="L32" s="57"/>
      <c r="M32" s="5" t="s">
        <v>65</v>
      </c>
      <c r="N32" s="7">
        <f>+N29+N30</f>
        <v>0</v>
      </c>
    </row>
    <row r="33" spans="1:14" x14ac:dyDescent="0.2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</row>
    <row r="34" spans="1:14" x14ac:dyDescent="0.2">
      <c r="A34" s="50" t="s">
        <v>176</v>
      </c>
      <c r="B34" s="50"/>
      <c r="C34" s="50"/>
      <c r="D34" s="50"/>
      <c r="E34" s="4" t="s">
        <v>182</v>
      </c>
      <c r="F34" s="1"/>
      <c r="G34" s="32" t="s">
        <v>224</v>
      </c>
      <c r="H34" s="32"/>
      <c r="I34" s="50" t="s">
        <v>177</v>
      </c>
      <c r="J34" s="50"/>
      <c r="K34" s="50"/>
      <c r="L34" s="50"/>
      <c r="M34" s="4" t="s">
        <v>183</v>
      </c>
      <c r="N34" s="1"/>
    </row>
    <row r="35" spans="1:14" x14ac:dyDescent="0.2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</row>
    <row r="36" spans="1:14" x14ac:dyDescent="0.2">
      <c r="A36" s="35" t="s">
        <v>5</v>
      </c>
      <c r="B36" s="35"/>
      <c r="C36" s="35"/>
      <c r="D36" s="35"/>
      <c r="E36" s="35"/>
      <c r="F36" s="35"/>
      <c r="G36" s="35"/>
      <c r="H36" s="35"/>
      <c r="I36" s="31" t="s">
        <v>1</v>
      </c>
      <c r="J36" s="31"/>
      <c r="K36" s="38" t="s">
        <v>221</v>
      </c>
      <c r="L36" s="38"/>
      <c r="M36" s="31" t="s">
        <v>2</v>
      </c>
      <c r="N36" s="31"/>
    </row>
    <row r="37" spans="1:14" x14ac:dyDescent="0.2">
      <c r="A37" s="41" t="s">
        <v>224</v>
      </c>
      <c r="B37" s="41"/>
      <c r="C37" s="41"/>
      <c r="D37" s="41"/>
      <c r="E37" s="41"/>
      <c r="F37" s="41"/>
      <c r="G37" s="41"/>
      <c r="H37" s="41"/>
      <c r="I37" s="41"/>
      <c r="J37" s="41"/>
      <c r="K37" s="42" t="s">
        <v>222</v>
      </c>
      <c r="L37" s="42"/>
      <c r="M37" s="41" t="s">
        <v>224</v>
      </c>
      <c r="N37" s="41"/>
    </row>
    <row r="38" spans="1:14" x14ac:dyDescent="0.2">
      <c r="A38" s="29" t="s">
        <v>144</v>
      </c>
      <c r="B38" s="29"/>
      <c r="C38" s="29"/>
      <c r="D38" s="29"/>
      <c r="E38" s="29"/>
      <c r="F38" s="29"/>
      <c r="G38" s="29"/>
      <c r="H38" s="29"/>
      <c r="I38" s="4" t="s">
        <v>14</v>
      </c>
      <c r="J38" s="1"/>
      <c r="K38" s="4" t="s">
        <v>39</v>
      </c>
      <c r="L38" s="1"/>
      <c r="M38" s="4" t="s">
        <v>54</v>
      </c>
      <c r="N38" s="1"/>
    </row>
    <row r="39" spans="1:14" x14ac:dyDescent="0.2">
      <c r="A39" s="29" t="s">
        <v>192</v>
      </c>
      <c r="B39" s="29"/>
      <c r="C39" s="29"/>
      <c r="D39" s="29"/>
      <c r="E39" s="29"/>
      <c r="F39" s="29"/>
      <c r="G39" s="29"/>
      <c r="H39" s="29"/>
      <c r="I39" s="4" t="s">
        <v>15</v>
      </c>
      <c r="J39" s="1"/>
      <c r="K39" s="4" t="s">
        <v>40</v>
      </c>
      <c r="L39" s="1"/>
      <c r="M39" s="4" t="s">
        <v>55</v>
      </c>
      <c r="N39" s="1"/>
    </row>
    <row r="40" spans="1:14" x14ac:dyDescent="0.2">
      <c r="A40" s="29" t="s">
        <v>269</v>
      </c>
      <c r="B40" s="29"/>
      <c r="C40" s="29"/>
      <c r="D40" s="29"/>
      <c r="E40" s="29"/>
      <c r="F40" s="29"/>
      <c r="G40" s="29"/>
      <c r="H40" s="29"/>
      <c r="I40" s="4" t="s">
        <v>270</v>
      </c>
      <c r="J40" s="1"/>
      <c r="K40" s="4" t="s">
        <v>271</v>
      </c>
      <c r="L40" s="1"/>
      <c r="M40" s="4" t="s">
        <v>272</v>
      </c>
      <c r="N40" s="1"/>
    </row>
    <row r="41" spans="1:14" x14ac:dyDescent="0.2">
      <c r="A41" s="29" t="s">
        <v>145</v>
      </c>
      <c r="B41" s="29"/>
      <c r="C41" s="29"/>
      <c r="D41" s="29"/>
      <c r="E41" s="29"/>
      <c r="F41" s="29"/>
      <c r="G41" s="29"/>
      <c r="H41" s="29"/>
      <c r="I41" s="4" t="s">
        <v>16</v>
      </c>
      <c r="J41" s="1"/>
      <c r="K41" s="4" t="s">
        <v>41</v>
      </c>
      <c r="L41" s="1"/>
      <c r="M41" s="4" t="s">
        <v>56</v>
      </c>
      <c r="N41" s="1"/>
    </row>
    <row r="42" spans="1:14" x14ac:dyDescent="0.2">
      <c r="A42" s="29" t="s">
        <v>146</v>
      </c>
      <c r="B42" s="29"/>
      <c r="C42" s="29"/>
      <c r="D42" s="29"/>
      <c r="E42" s="29"/>
      <c r="F42" s="29"/>
      <c r="G42" s="29"/>
      <c r="H42" s="29"/>
      <c r="I42" s="4" t="s">
        <v>17</v>
      </c>
      <c r="J42" s="1"/>
      <c r="K42" s="4" t="s">
        <v>42</v>
      </c>
      <c r="L42" s="1"/>
      <c r="M42" s="4" t="s">
        <v>57</v>
      </c>
      <c r="N42" s="1"/>
    </row>
    <row r="43" spans="1:14" x14ac:dyDescent="0.2">
      <c r="A43" s="29" t="s">
        <v>147</v>
      </c>
      <c r="B43" s="29"/>
      <c r="C43" s="29"/>
      <c r="D43" s="29"/>
      <c r="E43" s="29"/>
      <c r="F43" s="29"/>
      <c r="G43" s="29"/>
      <c r="H43" s="29"/>
      <c r="I43" s="4" t="s">
        <v>18</v>
      </c>
      <c r="J43" s="1"/>
      <c r="K43" s="4" t="s">
        <v>43</v>
      </c>
      <c r="L43" s="1"/>
      <c r="M43" s="4" t="s">
        <v>58</v>
      </c>
      <c r="N43" s="1"/>
    </row>
    <row r="44" spans="1:14" x14ac:dyDescent="0.2">
      <c r="A44" s="29" t="s">
        <v>148</v>
      </c>
      <c r="B44" s="29"/>
      <c r="C44" s="29"/>
      <c r="D44" s="29"/>
      <c r="E44" s="29"/>
      <c r="F44" s="29"/>
      <c r="G44" s="29"/>
      <c r="H44" s="29"/>
      <c r="I44" s="4" t="s">
        <v>19</v>
      </c>
      <c r="J44" s="1"/>
      <c r="K44" s="4" t="s">
        <v>44</v>
      </c>
      <c r="L44" s="1"/>
      <c r="M44" s="4" t="s">
        <v>59</v>
      </c>
      <c r="N44" s="1"/>
    </row>
    <row r="45" spans="1:14" ht="15" x14ac:dyDescent="0.25">
      <c r="A45" s="29" t="s">
        <v>149</v>
      </c>
      <c r="B45" s="52"/>
      <c r="C45" s="52"/>
      <c r="D45" s="52"/>
      <c r="E45" s="52"/>
      <c r="F45" s="52"/>
      <c r="G45" s="52"/>
      <c r="H45" s="52"/>
      <c r="I45" s="34" t="s">
        <v>224</v>
      </c>
      <c r="J45" s="34"/>
      <c r="K45" s="34"/>
      <c r="L45" s="34"/>
      <c r="M45" s="4" t="s">
        <v>60</v>
      </c>
      <c r="N45" s="1"/>
    </row>
    <row r="46" spans="1:14" ht="15" x14ac:dyDescent="0.25">
      <c r="A46" s="29" t="s">
        <v>150</v>
      </c>
      <c r="B46" s="52"/>
      <c r="C46" s="52"/>
      <c r="D46" s="52"/>
      <c r="E46" s="52"/>
      <c r="F46" s="52"/>
      <c r="G46" s="52"/>
      <c r="H46" s="52"/>
      <c r="I46" s="34" t="s">
        <v>224</v>
      </c>
      <c r="J46" s="34"/>
      <c r="K46" s="34"/>
      <c r="L46" s="34"/>
      <c r="M46" s="4" t="s">
        <v>61</v>
      </c>
      <c r="N46" s="1"/>
    </row>
    <row r="47" spans="1:14" x14ac:dyDescent="0.2">
      <c r="A47" s="29" t="s">
        <v>151</v>
      </c>
      <c r="B47" s="29"/>
      <c r="C47" s="29"/>
      <c r="D47" s="29"/>
      <c r="E47" s="29"/>
      <c r="F47" s="29"/>
      <c r="G47" s="29"/>
      <c r="H47" s="29"/>
      <c r="I47" s="4" t="s">
        <v>20</v>
      </c>
      <c r="J47" s="1"/>
      <c r="K47" s="4" t="s">
        <v>45</v>
      </c>
      <c r="L47" s="1"/>
      <c r="M47" s="32" t="s">
        <v>224</v>
      </c>
      <c r="N47" s="32"/>
    </row>
    <row r="48" spans="1:14" x14ac:dyDescent="0.2">
      <c r="A48" s="29" t="s">
        <v>152</v>
      </c>
      <c r="B48" s="29"/>
      <c r="C48" s="29"/>
      <c r="D48" s="29"/>
      <c r="E48" s="29"/>
      <c r="F48" s="29"/>
      <c r="G48" s="29"/>
      <c r="H48" s="29"/>
      <c r="I48" s="4" t="s">
        <v>21</v>
      </c>
      <c r="J48" s="1"/>
      <c r="K48" s="4" t="s">
        <v>46</v>
      </c>
      <c r="L48" s="1"/>
      <c r="M48" s="32" t="s">
        <v>224</v>
      </c>
      <c r="N48" s="32"/>
    </row>
    <row r="49" spans="1:14" x14ac:dyDescent="0.2">
      <c r="A49" s="29" t="s">
        <v>263</v>
      </c>
      <c r="B49" s="29"/>
      <c r="C49" s="29"/>
      <c r="D49" s="29"/>
      <c r="E49" s="29"/>
      <c r="F49" s="29"/>
      <c r="G49" s="29"/>
      <c r="H49" s="29"/>
      <c r="I49" s="4" t="s">
        <v>22</v>
      </c>
      <c r="J49" s="1"/>
      <c r="K49" s="4" t="s">
        <v>47</v>
      </c>
      <c r="L49" s="1"/>
      <c r="M49" s="32" t="s">
        <v>224</v>
      </c>
      <c r="N49" s="32"/>
    </row>
    <row r="50" spans="1:14" x14ac:dyDescent="0.2">
      <c r="A50" s="36" t="s">
        <v>6</v>
      </c>
      <c r="B50" s="36"/>
      <c r="C50" s="36"/>
      <c r="D50" s="36"/>
      <c r="E50" s="36"/>
      <c r="F50" s="36"/>
      <c r="G50" s="36"/>
      <c r="H50" s="36"/>
      <c r="I50" s="5" t="s">
        <v>23</v>
      </c>
      <c r="J50" s="7">
        <f>J38+J39+J40+J41+J42+J43+J44+J47+J48+J49</f>
        <v>0</v>
      </c>
      <c r="K50" s="5" t="s">
        <v>48</v>
      </c>
      <c r="L50" s="7">
        <f>L38+L39+L40+L41+L42+L43+L44+L47+L48+L49</f>
        <v>0</v>
      </c>
      <c r="M50" s="5" t="s">
        <v>62</v>
      </c>
      <c r="N50" s="7">
        <f>N38+N39+N40+N41+N42+N43+N44+N45+N46</f>
        <v>0</v>
      </c>
    </row>
    <row r="51" spans="1:14" x14ac:dyDescent="0.2">
      <c r="A51" s="29" t="s">
        <v>153</v>
      </c>
      <c r="B51" s="29"/>
      <c r="C51" s="29"/>
      <c r="D51" s="29"/>
      <c r="E51" s="29"/>
      <c r="F51" s="29"/>
      <c r="G51" s="29"/>
      <c r="H51" s="29"/>
      <c r="I51" s="4" t="s">
        <v>24</v>
      </c>
      <c r="J51" s="1"/>
      <c r="K51" s="4" t="s">
        <v>49</v>
      </c>
      <c r="L51" s="1"/>
      <c r="M51" s="32" t="s">
        <v>224</v>
      </c>
      <c r="N51" s="32"/>
    </row>
    <row r="52" spans="1:14" x14ac:dyDescent="0.2">
      <c r="A52" s="29" t="s">
        <v>154</v>
      </c>
      <c r="B52" s="29"/>
      <c r="C52" s="29"/>
      <c r="D52" s="29"/>
      <c r="E52" s="29"/>
      <c r="F52" s="29"/>
      <c r="G52" s="29"/>
      <c r="H52" s="29"/>
      <c r="I52" s="4" t="s">
        <v>25</v>
      </c>
      <c r="J52" s="1"/>
      <c r="K52" s="4" t="s">
        <v>50</v>
      </c>
      <c r="L52" s="1"/>
      <c r="M52" s="32" t="s">
        <v>224</v>
      </c>
      <c r="N52" s="32"/>
    </row>
    <row r="53" spans="1:14" x14ac:dyDescent="0.2">
      <c r="A53" s="29" t="s">
        <v>155</v>
      </c>
      <c r="B53" s="29"/>
      <c r="C53" s="29"/>
      <c r="D53" s="29"/>
      <c r="E53" s="29"/>
      <c r="F53" s="29"/>
      <c r="G53" s="29"/>
      <c r="H53" s="29"/>
      <c r="I53" s="32" t="s">
        <v>224</v>
      </c>
      <c r="J53" s="32"/>
      <c r="K53" s="4" t="s">
        <v>51</v>
      </c>
      <c r="L53" s="1"/>
      <c r="M53" s="32" t="s">
        <v>224</v>
      </c>
      <c r="N53" s="32"/>
    </row>
    <row r="54" spans="1:14" x14ac:dyDescent="0.2">
      <c r="A54" s="29" t="s">
        <v>156</v>
      </c>
      <c r="B54" s="29"/>
      <c r="C54" s="29"/>
      <c r="D54" s="29"/>
      <c r="E54" s="29"/>
      <c r="F54" s="29"/>
      <c r="G54" s="29"/>
      <c r="H54" s="29"/>
      <c r="I54" s="32" t="s">
        <v>224</v>
      </c>
      <c r="J54" s="32"/>
      <c r="K54" s="4" t="s">
        <v>52</v>
      </c>
      <c r="L54" s="1"/>
      <c r="M54" s="4" t="s">
        <v>63</v>
      </c>
      <c r="N54" s="1"/>
    </row>
    <row r="55" spans="1:14" x14ac:dyDescent="0.2">
      <c r="A55" s="29" t="s">
        <v>256</v>
      </c>
      <c r="B55" s="29"/>
      <c r="C55" s="29"/>
      <c r="D55" s="29"/>
      <c r="E55" s="29"/>
      <c r="F55" s="29"/>
      <c r="G55" s="29"/>
      <c r="H55" s="29"/>
      <c r="I55" s="4" t="s">
        <v>26</v>
      </c>
      <c r="J55" s="1"/>
      <c r="K55" s="4" t="s">
        <v>53</v>
      </c>
      <c r="L55" s="1"/>
      <c r="M55" s="4" t="s">
        <v>64</v>
      </c>
      <c r="N55" s="1"/>
    </row>
    <row r="56" spans="1:14" x14ac:dyDescent="0.2">
      <c r="A56" s="34" t="s">
        <v>224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</row>
    <row r="57" spans="1:14" x14ac:dyDescent="0.2">
      <c r="A57" s="29" t="s">
        <v>157</v>
      </c>
      <c r="B57" s="29"/>
      <c r="C57" s="29"/>
      <c r="D57" s="29"/>
      <c r="E57" s="29"/>
      <c r="F57" s="29"/>
      <c r="G57" s="29"/>
      <c r="H57" s="29"/>
      <c r="I57" s="27" t="s">
        <v>204</v>
      </c>
      <c r="J57" s="27"/>
      <c r="K57" s="27"/>
      <c r="L57" s="27"/>
      <c r="M57" s="4" t="s">
        <v>112</v>
      </c>
      <c r="N57" s="12" t="e">
        <f>(L8+L9+L15+L16+L17+L18)/L19</f>
        <v>#DIV/0!</v>
      </c>
    </row>
    <row r="58" spans="1:14" x14ac:dyDescent="0.2">
      <c r="A58" s="28" t="s">
        <v>223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3" t="s">
        <v>113</v>
      </c>
      <c r="N58" s="16" t="e">
        <f>ROUND((N38+N39+N42+N43+N44+N45+N46)*N57,2)</f>
        <v>#DIV/0!</v>
      </c>
    </row>
    <row r="59" spans="1:14" x14ac:dyDescent="0.2">
      <c r="A59" s="34" t="s">
        <v>224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</row>
    <row r="60" spans="1:14" x14ac:dyDescent="0.2">
      <c r="A60" s="50" t="s">
        <v>158</v>
      </c>
      <c r="B60" s="50"/>
      <c r="C60" s="50"/>
      <c r="D60" s="50"/>
      <c r="E60" s="4" t="s">
        <v>129</v>
      </c>
      <c r="F60" s="1"/>
      <c r="G60" s="32" t="s">
        <v>224</v>
      </c>
      <c r="H60" s="32"/>
      <c r="I60" s="50" t="s">
        <v>193</v>
      </c>
      <c r="J60" s="50"/>
      <c r="K60" s="50"/>
      <c r="L60" s="50"/>
      <c r="M60" s="4" t="s">
        <v>130</v>
      </c>
      <c r="N60" s="1"/>
    </row>
    <row r="61" spans="1:14" x14ac:dyDescent="0.2">
      <c r="A61" s="50" t="s">
        <v>159</v>
      </c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4" t="s">
        <v>131</v>
      </c>
      <c r="N61" s="1"/>
    </row>
    <row r="62" spans="1:14" x14ac:dyDescent="0.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</row>
    <row r="63" spans="1:14" x14ac:dyDescent="0.2">
      <c r="A63" s="43" t="s">
        <v>7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</row>
    <row r="64" spans="1:14" x14ac:dyDescent="0.2">
      <c r="A64" s="29" t="s">
        <v>198</v>
      </c>
      <c r="B64" s="29"/>
      <c r="C64" s="29"/>
      <c r="D64" s="29"/>
      <c r="E64" s="29"/>
      <c r="F64" s="29"/>
      <c r="G64" s="27" t="s">
        <v>200</v>
      </c>
      <c r="H64" s="27"/>
      <c r="I64" s="27"/>
      <c r="J64" s="27"/>
      <c r="K64" s="27"/>
      <c r="L64" s="27"/>
      <c r="M64" s="4" t="s">
        <v>91</v>
      </c>
      <c r="N64" s="11" t="e">
        <f>IF(N32-N58&gt;0,N32-N58,0)</f>
        <v>#DIV/0!</v>
      </c>
    </row>
    <row r="65" spans="1:14" x14ac:dyDescent="0.2">
      <c r="A65" s="29" t="s">
        <v>199</v>
      </c>
      <c r="B65" s="29"/>
      <c r="C65" s="29"/>
      <c r="D65" s="29"/>
      <c r="E65" s="29"/>
      <c r="F65" s="29"/>
      <c r="G65" s="27" t="s">
        <v>201</v>
      </c>
      <c r="H65" s="27"/>
      <c r="I65" s="27"/>
      <c r="J65" s="27"/>
      <c r="K65" s="27"/>
      <c r="L65" s="27"/>
      <c r="M65" s="4" t="s">
        <v>92</v>
      </c>
      <c r="N65" s="11" t="e">
        <f>IF(N32-N58&lt; 0,ABS(N32-N58),0)</f>
        <v>#DIV/0!</v>
      </c>
    </row>
    <row r="66" spans="1:14" x14ac:dyDescent="0.2">
      <c r="A66" s="29" t="s">
        <v>257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4" t="s">
        <v>93</v>
      </c>
      <c r="N66" s="1"/>
    </row>
    <row r="67" spans="1:14" x14ac:dyDescent="0.2">
      <c r="A67" s="29" t="s">
        <v>236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4" t="s">
        <v>94</v>
      </c>
      <c r="N67" s="1"/>
    </row>
    <row r="68" spans="1:14" x14ac:dyDescent="0.2">
      <c r="A68" s="49" t="s">
        <v>160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</row>
    <row r="69" spans="1:14" x14ac:dyDescent="0.2">
      <c r="A69" s="32" t="s">
        <v>224</v>
      </c>
      <c r="B69" s="32"/>
      <c r="C69" s="29" t="s">
        <v>213</v>
      </c>
      <c r="D69" s="29"/>
      <c r="E69" s="29"/>
      <c r="F69" s="29"/>
      <c r="G69" s="27" t="s">
        <v>194</v>
      </c>
      <c r="H69" s="27"/>
      <c r="I69" s="27"/>
      <c r="J69" s="27"/>
      <c r="K69" s="27"/>
      <c r="L69" s="27"/>
      <c r="M69" s="4" t="s">
        <v>95</v>
      </c>
      <c r="N69" s="1"/>
    </row>
    <row r="70" spans="1:14" x14ac:dyDescent="0.2">
      <c r="A70" s="32" t="s">
        <v>224</v>
      </c>
      <c r="B70" s="32"/>
      <c r="C70" s="29" t="s">
        <v>214</v>
      </c>
      <c r="D70" s="29"/>
      <c r="E70" s="29"/>
      <c r="F70" s="29"/>
      <c r="G70" s="27" t="s">
        <v>195</v>
      </c>
      <c r="H70" s="27"/>
      <c r="I70" s="27"/>
      <c r="J70" s="27"/>
      <c r="K70" s="27"/>
      <c r="L70" s="27"/>
      <c r="M70" s="4" t="s">
        <v>96</v>
      </c>
      <c r="N70" s="1"/>
    </row>
    <row r="71" spans="1:14" x14ac:dyDescent="0.2">
      <c r="A71" s="32" t="s">
        <v>224</v>
      </c>
      <c r="B71" s="32"/>
      <c r="C71" s="29" t="s">
        <v>215</v>
      </c>
      <c r="D71" s="29"/>
      <c r="E71" s="29"/>
      <c r="F71" s="29"/>
      <c r="G71" s="27" t="s">
        <v>196</v>
      </c>
      <c r="H71" s="27"/>
      <c r="I71" s="27"/>
      <c r="J71" s="27"/>
      <c r="K71" s="27"/>
      <c r="L71" s="27"/>
      <c r="M71" s="4" t="s">
        <v>97</v>
      </c>
      <c r="N71" s="1"/>
    </row>
    <row r="72" spans="1:14" x14ac:dyDescent="0.2">
      <c r="A72" s="32" t="s">
        <v>224</v>
      </c>
      <c r="B72" s="32"/>
      <c r="C72" s="29" t="s">
        <v>237</v>
      </c>
      <c r="D72" s="29"/>
      <c r="E72" s="29"/>
      <c r="F72" s="29"/>
      <c r="G72" s="27" t="s">
        <v>197</v>
      </c>
      <c r="H72" s="27"/>
      <c r="I72" s="27"/>
      <c r="J72" s="27"/>
      <c r="K72" s="27"/>
      <c r="L72" s="27"/>
      <c r="M72" s="4" t="s">
        <v>98</v>
      </c>
      <c r="N72" s="1"/>
    </row>
    <row r="73" spans="1:14" x14ac:dyDescent="0.2">
      <c r="A73" s="29" t="s">
        <v>178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4" t="s">
        <v>99</v>
      </c>
      <c r="N73" s="1"/>
    </row>
    <row r="74" spans="1:14" x14ac:dyDescent="0.2">
      <c r="A74" s="29" t="s">
        <v>274</v>
      </c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4" t="s">
        <v>273</v>
      </c>
      <c r="N74" s="1"/>
    </row>
    <row r="75" spans="1:14" x14ac:dyDescent="0.2">
      <c r="A75" s="29" t="s">
        <v>181</v>
      </c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4" t="s">
        <v>100</v>
      </c>
      <c r="N75" s="1"/>
    </row>
    <row r="76" spans="1:14" x14ac:dyDescent="0.2">
      <c r="A76" s="29" t="s">
        <v>179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4" t="s">
        <v>101</v>
      </c>
      <c r="N76" s="1"/>
    </row>
    <row r="77" spans="1:14" x14ac:dyDescent="0.2">
      <c r="A77" s="29" t="s">
        <v>226</v>
      </c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4" t="s">
        <v>102</v>
      </c>
      <c r="N77" s="1"/>
    </row>
    <row r="78" spans="1:14" x14ac:dyDescent="0.2">
      <c r="A78" s="29" t="s">
        <v>225</v>
      </c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4" t="s">
        <v>103</v>
      </c>
      <c r="N78" s="1"/>
    </row>
    <row r="79" spans="1:14" x14ac:dyDescent="0.2">
      <c r="A79" s="29" t="s">
        <v>161</v>
      </c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4" t="s">
        <v>104</v>
      </c>
      <c r="N79" s="1"/>
    </row>
    <row r="80" spans="1:14" x14ac:dyDescent="0.2">
      <c r="A80" s="49" t="s">
        <v>162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</row>
    <row r="81" spans="1:14" x14ac:dyDescent="0.2">
      <c r="A81" s="32" t="s">
        <v>224</v>
      </c>
      <c r="B81" s="32"/>
      <c r="C81" s="29" t="s">
        <v>216</v>
      </c>
      <c r="D81" s="29"/>
      <c r="E81" s="29"/>
      <c r="F81" s="29"/>
      <c r="G81" s="29"/>
      <c r="H81" s="29"/>
      <c r="I81" s="29"/>
      <c r="J81" s="29"/>
      <c r="K81" s="29"/>
      <c r="L81" s="29"/>
      <c r="M81" s="4" t="s">
        <v>105</v>
      </c>
      <c r="N81" s="1"/>
    </row>
    <row r="82" spans="1:14" x14ac:dyDescent="0.2">
      <c r="A82" s="32" t="s">
        <v>224</v>
      </c>
      <c r="B82" s="32"/>
      <c r="C82" s="29" t="s">
        <v>214</v>
      </c>
      <c r="D82" s="29"/>
      <c r="E82" s="29"/>
      <c r="F82" s="29"/>
      <c r="G82" s="29"/>
      <c r="H82" s="29"/>
      <c r="I82" s="29"/>
      <c r="J82" s="29"/>
      <c r="K82" s="29"/>
      <c r="L82" s="29"/>
      <c r="M82" s="4" t="s">
        <v>106</v>
      </c>
      <c r="N82" s="1"/>
    </row>
    <row r="83" spans="1:14" x14ac:dyDescent="0.2">
      <c r="A83" s="32" t="s">
        <v>224</v>
      </c>
      <c r="B83" s="32"/>
      <c r="C83" s="29" t="s">
        <v>217</v>
      </c>
      <c r="D83" s="29"/>
      <c r="E83" s="29"/>
      <c r="F83" s="29"/>
      <c r="G83" s="29"/>
      <c r="H83" s="29"/>
      <c r="I83" s="29"/>
      <c r="J83" s="29"/>
      <c r="K83" s="29"/>
      <c r="L83" s="29"/>
      <c r="M83" s="4" t="s">
        <v>107</v>
      </c>
      <c r="N83" s="1"/>
    </row>
    <row r="84" spans="1:14" x14ac:dyDescent="0.2">
      <c r="A84" s="32" t="s">
        <v>224</v>
      </c>
      <c r="B84" s="32"/>
      <c r="C84" s="29" t="s">
        <v>237</v>
      </c>
      <c r="D84" s="29"/>
      <c r="E84" s="29"/>
      <c r="F84" s="29"/>
      <c r="G84" s="29"/>
      <c r="H84" s="29"/>
      <c r="I84" s="29"/>
      <c r="J84" s="29"/>
      <c r="K84" s="29"/>
      <c r="L84" s="29"/>
      <c r="M84" s="4" t="s">
        <v>108</v>
      </c>
      <c r="N84" s="1"/>
    </row>
    <row r="85" spans="1:14" x14ac:dyDescent="0.2">
      <c r="A85" s="28" t="s">
        <v>8</v>
      </c>
      <c r="B85" s="28"/>
      <c r="C85" s="28"/>
      <c r="D85" s="28"/>
      <c r="E85" s="27" t="s">
        <v>205</v>
      </c>
      <c r="F85" s="27"/>
      <c r="G85" s="27"/>
      <c r="H85" s="27"/>
      <c r="I85" s="27"/>
      <c r="J85" s="27"/>
      <c r="K85" s="27"/>
      <c r="L85" s="27"/>
      <c r="M85" s="3" t="s">
        <v>109</v>
      </c>
      <c r="N85" s="13" t="e">
        <f>IF(N64-N65-N66-N67-N69-N70-N71-N72-N73+N75+N76+N77+N78+N79 &gt; 0,N64-N65-N66-N67-N69-N70-N71-N72-N73+N75+N76+N77+N78+N79,0)</f>
        <v>#DIV/0!</v>
      </c>
    </row>
    <row r="86" spans="1:14" x14ac:dyDescent="0.2">
      <c r="A86" s="29" t="s">
        <v>261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4" t="s">
        <v>110</v>
      </c>
      <c r="N86" s="1"/>
    </row>
    <row r="87" spans="1:14" x14ac:dyDescent="0.2">
      <c r="A87" s="36" t="s">
        <v>262</v>
      </c>
      <c r="B87" s="36"/>
      <c r="C87" s="36"/>
      <c r="D87" s="36"/>
      <c r="E87" s="36"/>
      <c r="F87" s="36"/>
      <c r="G87" s="36"/>
      <c r="H87" s="36"/>
      <c r="I87" s="37" t="s">
        <v>206</v>
      </c>
      <c r="J87" s="37"/>
      <c r="K87" s="37"/>
      <c r="L87" s="37"/>
      <c r="M87" s="5" t="s">
        <v>111</v>
      </c>
      <c r="N87" s="7" t="e">
        <f>N85+N86</f>
        <v>#DIV/0!</v>
      </c>
    </row>
    <row r="88" spans="1:14" x14ac:dyDescent="0.2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</row>
    <row r="89" spans="1:14" x14ac:dyDescent="0.2">
      <c r="A89" s="33" t="s">
        <v>234</v>
      </c>
      <c r="B89" s="33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</row>
    <row r="90" spans="1:14" x14ac:dyDescent="0.2">
      <c r="A90" s="35" t="s">
        <v>227</v>
      </c>
      <c r="B90" s="35"/>
      <c r="C90" s="35"/>
      <c r="D90" s="35"/>
      <c r="E90" s="35"/>
      <c r="F90" s="35"/>
      <c r="G90" s="35"/>
      <c r="H90" s="35"/>
      <c r="I90" s="35"/>
      <c r="J90" s="35"/>
      <c r="K90" s="38" t="s">
        <v>228</v>
      </c>
      <c r="L90" s="38"/>
      <c r="M90" s="31" t="s">
        <v>229</v>
      </c>
      <c r="N90" s="31"/>
    </row>
    <row r="91" spans="1:14" x14ac:dyDescent="0.2">
      <c r="A91" s="29" t="s">
        <v>238</v>
      </c>
      <c r="B91" s="29"/>
      <c r="C91" s="29"/>
      <c r="D91" s="29"/>
      <c r="E91" s="29"/>
      <c r="F91" s="29"/>
      <c r="G91" s="29"/>
      <c r="H91" s="29"/>
      <c r="I91" s="29"/>
      <c r="J91" s="29"/>
      <c r="K91" s="4" t="s">
        <v>230</v>
      </c>
      <c r="L91" s="1"/>
      <c r="M91" s="4" t="s">
        <v>231</v>
      </c>
      <c r="N91" s="1"/>
    </row>
    <row r="92" spans="1:14" x14ac:dyDescent="0.2">
      <c r="A92" s="32" t="s">
        <v>224</v>
      </c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1" t="s">
        <v>233</v>
      </c>
      <c r="N92" s="31"/>
    </row>
    <row r="93" spans="1:14" x14ac:dyDescent="0.2">
      <c r="A93" s="29" t="s">
        <v>235</v>
      </c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4" t="s">
        <v>232</v>
      </c>
      <c r="N93" s="1"/>
    </row>
    <row r="94" spans="1:14" x14ac:dyDescent="0.2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</row>
    <row r="95" spans="1:14" x14ac:dyDescent="0.2">
      <c r="A95" s="43" t="s">
        <v>9</v>
      </c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</row>
    <row r="96" spans="1:14" x14ac:dyDescent="0.2">
      <c r="A96" s="29" t="s">
        <v>163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4" t="s">
        <v>114</v>
      </c>
      <c r="N96" s="1"/>
    </row>
    <row r="97" spans="1:14" x14ac:dyDescent="0.2">
      <c r="A97" s="29" t="s">
        <v>164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4" t="s">
        <v>115</v>
      </c>
      <c r="N97" s="1"/>
    </row>
    <row r="98" spans="1:14" x14ac:dyDescent="0.2">
      <c r="A98" s="29" t="s">
        <v>165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4" t="s">
        <v>116</v>
      </c>
      <c r="N98" s="1"/>
    </row>
    <row r="99" spans="1:14" x14ac:dyDescent="0.2">
      <c r="A99" s="29" t="s">
        <v>166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4" t="s">
        <v>117</v>
      </c>
      <c r="N99" s="1"/>
    </row>
    <row r="100" spans="1:14" x14ac:dyDescent="0.2">
      <c r="A100" s="29" t="s">
        <v>167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4" t="s">
        <v>118</v>
      </c>
      <c r="N100" s="1"/>
    </row>
    <row r="101" spans="1:14" x14ac:dyDescent="0.2">
      <c r="A101" s="29" t="s">
        <v>168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4" t="s">
        <v>119</v>
      </c>
      <c r="N101" s="1"/>
    </row>
    <row r="102" spans="1:14" x14ac:dyDescent="0.2">
      <c r="A102" s="28" t="s">
        <v>10</v>
      </c>
      <c r="B102" s="28"/>
      <c r="C102" s="28"/>
      <c r="D102" s="28"/>
      <c r="E102" s="28"/>
      <c r="F102" s="28"/>
      <c r="G102" s="28"/>
      <c r="H102" s="28"/>
      <c r="I102" s="27" t="s">
        <v>207</v>
      </c>
      <c r="J102" s="27"/>
      <c r="K102" s="27"/>
      <c r="L102" s="27"/>
      <c r="M102" s="3" t="s">
        <v>120</v>
      </c>
      <c r="N102" s="13">
        <f>N96+N97+N98+N99+N100+N101</f>
        <v>0</v>
      </c>
    </row>
    <row r="103" spans="1:14" x14ac:dyDescent="0.2">
      <c r="A103" s="29" t="s">
        <v>180</v>
      </c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4" t="s">
        <v>121</v>
      </c>
      <c r="N103" s="1"/>
    </row>
    <row r="104" spans="1:14" x14ac:dyDescent="0.2">
      <c r="A104" s="45" t="s">
        <v>260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7"/>
      <c r="M104" s="4" t="s">
        <v>258</v>
      </c>
      <c r="N104" s="1"/>
    </row>
    <row r="105" spans="1:14" x14ac:dyDescent="0.2">
      <c r="A105" s="36" t="s">
        <v>132</v>
      </c>
      <c r="B105" s="36"/>
      <c r="C105" s="36"/>
      <c r="D105" s="36"/>
      <c r="E105" s="36"/>
      <c r="F105" s="36"/>
      <c r="G105" s="36"/>
      <c r="H105" s="36"/>
      <c r="I105" s="37" t="s">
        <v>259</v>
      </c>
      <c r="J105" s="37"/>
      <c r="K105" s="37"/>
      <c r="L105" s="37"/>
      <c r="M105" s="5" t="s">
        <v>122</v>
      </c>
      <c r="N105" s="7">
        <f>N102-N103-N104</f>
        <v>0</v>
      </c>
    </row>
    <row r="106" spans="1:14" x14ac:dyDescent="0.2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</row>
    <row r="107" spans="1:14" x14ac:dyDescent="0.2">
      <c r="A107" s="43" t="s">
        <v>11</v>
      </c>
      <c r="B107" s="43"/>
      <c r="C107" s="43"/>
      <c r="D107" s="43"/>
      <c r="E107" s="43"/>
      <c r="F107" s="43"/>
      <c r="G107" s="43"/>
      <c r="H107" s="43"/>
      <c r="I107" s="48" t="s">
        <v>252</v>
      </c>
      <c r="J107" s="48"/>
      <c r="K107" s="48"/>
      <c r="L107" s="48"/>
      <c r="M107" s="6" t="s">
        <v>123</v>
      </c>
      <c r="N107" s="14" t="e">
        <f>N87+N105</f>
        <v>#DIV/0!</v>
      </c>
    </row>
    <row r="108" spans="1:14" x14ac:dyDescent="0.2">
      <c r="A108" s="32" t="s">
        <v>224</v>
      </c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</row>
    <row r="109" spans="1:14" x14ac:dyDescent="0.2">
      <c r="A109" s="28" t="s">
        <v>169</v>
      </c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3" t="s">
        <v>209</v>
      </c>
      <c r="N109" s="1"/>
    </row>
    <row r="110" spans="1:14" x14ac:dyDescent="0.2">
      <c r="A110" s="29" t="s">
        <v>208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</row>
    <row r="111" spans="1:14" x14ac:dyDescent="0.2">
      <c r="A111" s="32" t="s">
        <v>224</v>
      </c>
      <c r="B111" s="32"/>
      <c r="C111" s="29" t="s">
        <v>218</v>
      </c>
      <c r="D111" s="29"/>
      <c r="E111" s="29"/>
      <c r="F111" s="29"/>
      <c r="G111" s="29"/>
      <c r="H111" s="29"/>
      <c r="I111" s="29"/>
      <c r="J111" s="29"/>
      <c r="K111" s="29"/>
      <c r="L111" s="29"/>
      <c r="M111" s="4" t="s">
        <v>210</v>
      </c>
      <c r="N111" s="1"/>
    </row>
    <row r="112" spans="1:14" x14ac:dyDescent="0.2">
      <c r="A112" s="32" t="s">
        <v>224</v>
      </c>
      <c r="B112" s="32"/>
      <c r="C112" s="29" t="s">
        <v>219</v>
      </c>
      <c r="D112" s="29"/>
      <c r="E112" s="29"/>
      <c r="F112" s="29"/>
      <c r="G112" s="29"/>
      <c r="H112" s="29"/>
      <c r="I112" s="29"/>
      <c r="J112" s="29"/>
      <c r="K112" s="29"/>
      <c r="L112" s="29"/>
      <c r="M112" s="4" t="s">
        <v>211</v>
      </c>
      <c r="N112" s="1"/>
    </row>
    <row r="113" spans="1:14" x14ac:dyDescent="0.2">
      <c r="A113" s="32" t="s">
        <v>224</v>
      </c>
      <c r="B113" s="32"/>
      <c r="C113" s="29" t="s">
        <v>172</v>
      </c>
      <c r="D113" s="29"/>
      <c r="E113" s="29"/>
      <c r="F113" s="29"/>
      <c r="G113" s="29"/>
      <c r="H113" s="29"/>
      <c r="I113" s="29"/>
      <c r="J113" s="29"/>
      <c r="K113" s="29"/>
      <c r="L113" s="29"/>
      <c r="M113" s="4" t="s">
        <v>212</v>
      </c>
      <c r="N113" s="1"/>
    </row>
    <row r="114" spans="1:14" x14ac:dyDescent="0.2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</row>
    <row r="115" spans="1:14" x14ac:dyDescent="0.2">
      <c r="A115" s="29" t="s">
        <v>170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4" t="s">
        <v>128</v>
      </c>
      <c r="N115" s="1"/>
    </row>
    <row r="116" spans="1:14" x14ac:dyDescent="0.2">
      <c r="A116" s="34" t="s">
        <v>224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</row>
    <row r="117" spans="1:14" x14ac:dyDescent="0.2">
      <c r="A117" s="23" t="s">
        <v>254</v>
      </c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15" t="s">
        <v>239</v>
      </c>
      <c r="N117" s="1"/>
    </row>
    <row r="118" spans="1:14" x14ac:dyDescent="0.2">
      <c r="A118" s="25" t="s">
        <v>240</v>
      </c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15" t="s">
        <v>241</v>
      </c>
      <c r="N118" s="1"/>
    </row>
    <row r="119" spans="1:14" x14ac:dyDescent="0.2">
      <c r="A119" s="25" t="s">
        <v>242</v>
      </c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15" t="s">
        <v>243</v>
      </c>
      <c r="N119" s="1"/>
    </row>
    <row r="120" spans="1:14" x14ac:dyDescent="0.2">
      <c r="A120" s="25" t="s">
        <v>244</v>
      </c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15" t="s">
        <v>245</v>
      </c>
      <c r="N120" s="1"/>
    </row>
    <row r="121" spans="1:14" x14ac:dyDescent="0.2">
      <c r="A121" s="25" t="s">
        <v>246</v>
      </c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15" t="s">
        <v>247</v>
      </c>
      <c r="N121" s="1"/>
    </row>
    <row r="122" spans="1:14" x14ac:dyDescent="0.2">
      <c r="A122" s="25" t="s">
        <v>248</v>
      </c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15" t="s">
        <v>249</v>
      </c>
      <c r="N122" s="1"/>
    </row>
    <row r="123" spans="1:14" x14ac:dyDescent="0.2">
      <c r="A123" s="25" t="s">
        <v>250</v>
      </c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15" t="s">
        <v>251</v>
      </c>
      <c r="N123" s="1"/>
    </row>
    <row r="124" spans="1:14" x14ac:dyDescent="0.2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</row>
    <row r="125" spans="1:14" x14ac:dyDescent="0.2">
      <c r="A125" s="43" t="s">
        <v>220</v>
      </c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</row>
    <row r="126" spans="1:14" x14ac:dyDescent="0.2">
      <c r="A126" s="36" t="s">
        <v>12</v>
      </c>
      <c r="B126" s="36"/>
      <c r="C126" s="36"/>
      <c r="D126" s="36"/>
      <c r="E126" s="36"/>
      <c r="F126" s="36"/>
      <c r="G126" s="36"/>
      <c r="H126" s="36"/>
      <c r="I126" s="37" t="s">
        <v>253</v>
      </c>
      <c r="J126" s="37"/>
      <c r="K126" s="37"/>
      <c r="L126" s="37"/>
      <c r="M126" s="5" t="s">
        <v>124</v>
      </c>
      <c r="N126" s="7" t="e">
        <f>N107-N112</f>
        <v>#DIV/0!</v>
      </c>
    </row>
    <row r="127" spans="1:14" x14ac:dyDescent="0.2">
      <c r="A127" s="29" t="s">
        <v>171</v>
      </c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4" t="s">
        <v>125</v>
      </c>
      <c r="N127" s="1"/>
    </row>
    <row r="128" spans="1:14" x14ac:dyDescent="0.2">
      <c r="A128" s="29" t="s">
        <v>172</v>
      </c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4" t="s">
        <v>126</v>
      </c>
      <c r="N128" s="1"/>
    </row>
    <row r="129" spans="1:14" x14ac:dyDescent="0.2">
      <c r="A129" s="36" t="s">
        <v>13</v>
      </c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5" t="s">
        <v>127</v>
      </c>
      <c r="N129" s="7" t="e">
        <f>N126+N127+N128</f>
        <v>#DIV/0!</v>
      </c>
    </row>
    <row r="130" spans="1:14" x14ac:dyDescent="0.2"/>
  </sheetData>
  <sheetProtection selectLockedCells="1"/>
  <mergeCells count="203">
    <mergeCell ref="A11:H11"/>
    <mergeCell ref="A24:N24"/>
    <mergeCell ref="A23:H23"/>
    <mergeCell ref="A26:L26"/>
    <mergeCell ref="A27:L27"/>
    <mergeCell ref="A5:B5"/>
    <mergeCell ref="C5:L5"/>
    <mergeCell ref="M5:N5"/>
    <mergeCell ref="A10:H10"/>
    <mergeCell ref="M21:N21"/>
    <mergeCell ref="A4:J4"/>
    <mergeCell ref="K4:L4"/>
    <mergeCell ref="A36:H36"/>
    <mergeCell ref="A74:L74"/>
    <mergeCell ref="M47:N47"/>
    <mergeCell ref="A13:H13"/>
    <mergeCell ref="A12:H12"/>
    <mergeCell ref="A19:H19"/>
    <mergeCell ref="A20:H20"/>
    <mergeCell ref="I11:L11"/>
    <mergeCell ref="A47:H47"/>
    <mergeCell ref="A46:H46"/>
    <mergeCell ref="A28:H28"/>
    <mergeCell ref="I28:L28"/>
    <mergeCell ref="I29:L29"/>
    <mergeCell ref="A29:H29"/>
    <mergeCell ref="I31:L31"/>
    <mergeCell ref="A31:H31"/>
    <mergeCell ref="I32:L32"/>
    <mergeCell ref="A32:H32"/>
    <mergeCell ref="I45:L45"/>
    <mergeCell ref="I46:L46"/>
    <mergeCell ref="A41:H41"/>
    <mergeCell ref="M20:N20"/>
    <mergeCell ref="K37:L37"/>
    <mergeCell ref="A42:H42"/>
    <mergeCell ref="M37:N37"/>
    <mergeCell ref="A37:J37"/>
    <mergeCell ref="A45:H45"/>
    <mergeCell ref="A44:H44"/>
    <mergeCell ref="K36:L36"/>
    <mergeCell ref="A40:H40"/>
    <mergeCell ref="A38:H38"/>
    <mergeCell ref="A39:H39"/>
    <mergeCell ref="A43:H43"/>
    <mergeCell ref="I34:L34"/>
    <mergeCell ref="I36:J36"/>
    <mergeCell ref="M36:N36"/>
    <mergeCell ref="A34:D34"/>
    <mergeCell ref="G34:H34"/>
    <mergeCell ref="M13:N13"/>
    <mergeCell ref="M14:N14"/>
    <mergeCell ref="M17:N17"/>
    <mergeCell ref="M18:N18"/>
    <mergeCell ref="I21:J21"/>
    <mergeCell ref="I22:J22"/>
    <mergeCell ref="A35:N35"/>
    <mergeCell ref="A33:N33"/>
    <mergeCell ref="A17:H17"/>
    <mergeCell ref="A30:L30"/>
    <mergeCell ref="A18:H18"/>
    <mergeCell ref="A21:H21"/>
    <mergeCell ref="A25:N25"/>
    <mergeCell ref="A49:H49"/>
    <mergeCell ref="A48:H48"/>
    <mergeCell ref="A50:H50"/>
    <mergeCell ref="A54:H54"/>
    <mergeCell ref="A51:H51"/>
    <mergeCell ref="A53:H53"/>
    <mergeCell ref="A52:H52"/>
    <mergeCell ref="M48:N48"/>
    <mergeCell ref="M49:N49"/>
    <mergeCell ref="M51:N51"/>
    <mergeCell ref="M52:N52"/>
    <mergeCell ref="M53:N53"/>
    <mergeCell ref="I53:J53"/>
    <mergeCell ref="I54:J54"/>
    <mergeCell ref="A59:N59"/>
    <mergeCell ref="A57:H57"/>
    <mergeCell ref="I60:L60"/>
    <mergeCell ref="A55:H55"/>
    <mergeCell ref="A58:L58"/>
    <mergeCell ref="A60:D60"/>
    <mergeCell ref="G60:H60"/>
    <mergeCell ref="A68:N68"/>
    <mergeCell ref="G69:L69"/>
    <mergeCell ref="G70:L70"/>
    <mergeCell ref="G71:L71"/>
    <mergeCell ref="G72:L72"/>
    <mergeCell ref="C69:F69"/>
    <mergeCell ref="A67:L67"/>
    <mergeCell ref="A56:N56"/>
    <mergeCell ref="I57:L57"/>
    <mergeCell ref="G64:L64"/>
    <mergeCell ref="A61:L61"/>
    <mergeCell ref="A63:N63"/>
    <mergeCell ref="A62:N62"/>
    <mergeCell ref="A64:F64"/>
    <mergeCell ref="A126:H126"/>
    <mergeCell ref="A106:N106"/>
    <mergeCell ref="I102:L102"/>
    <mergeCell ref="A102:H102"/>
    <mergeCell ref="G65:L65"/>
    <mergeCell ref="A65:F65"/>
    <mergeCell ref="A75:L75"/>
    <mergeCell ref="A84:B84"/>
    <mergeCell ref="I107:L107"/>
    <mergeCell ref="A107:H107"/>
    <mergeCell ref="A91:J91"/>
    <mergeCell ref="A73:L73"/>
    <mergeCell ref="A69:B69"/>
    <mergeCell ref="A70:B70"/>
    <mergeCell ref="A71:B71"/>
    <mergeCell ref="A72:B72"/>
    <mergeCell ref="A81:B81"/>
    <mergeCell ref="A80:N80"/>
    <mergeCell ref="A78:L78"/>
    <mergeCell ref="A79:L79"/>
    <mergeCell ref="A66:L66"/>
    <mergeCell ref="C70:F70"/>
    <mergeCell ref="C71:F71"/>
    <mergeCell ref="C72:F72"/>
    <mergeCell ref="A111:B111"/>
    <mergeCell ref="A104:L104"/>
    <mergeCell ref="C113:L113"/>
    <mergeCell ref="A122:L122"/>
    <mergeCell ref="A123:L123"/>
    <mergeCell ref="K90:L90"/>
    <mergeCell ref="A112:B112"/>
    <mergeCell ref="M90:N90"/>
    <mergeCell ref="A113:B113"/>
    <mergeCell ref="A76:L76"/>
    <mergeCell ref="A83:B83"/>
    <mergeCell ref="A82:B82"/>
    <mergeCell ref="A120:L120"/>
    <mergeCell ref="A121:L121"/>
    <mergeCell ref="A129:L129"/>
    <mergeCell ref="A128:L128"/>
    <mergeCell ref="A125:N125"/>
    <mergeCell ref="A127:L127"/>
    <mergeCell ref="A115:L115"/>
    <mergeCell ref="A116:N116"/>
    <mergeCell ref="A95:N95"/>
    <mergeCell ref="A97:L97"/>
    <mergeCell ref="A96:L96"/>
    <mergeCell ref="A99:L99"/>
    <mergeCell ref="A98:L98"/>
    <mergeCell ref="A101:L101"/>
    <mergeCell ref="A100:L100"/>
    <mergeCell ref="A108:N108"/>
    <mergeCell ref="A109:L109"/>
    <mergeCell ref="A110:N110"/>
    <mergeCell ref="A114:N114"/>
    <mergeCell ref="I126:L126"/>
    <mergeCell ref="C111:L111"/>
    <mergeCell ref="A124:N124"/>
    <mergeCell ref="K6:L6"/>
    <mergeCell ref="M6:N6"/>
    <mergeCell ref="I6:J6"/>
    <mergeCell ref="A6:H6"/>
    <mergeCell ref="A7:J7"/>
    <mergeCell ref="M15:N15"/>
    <mergeCell ref="M16:N16"/>
    <mergeCell ref="M7:N7"/>
    <mergeCell ref="K7:L7"/>
    <mergeCell ref="A8:H8"/>
    <mergeCell ref="A9:H9"/>
    <mergeCell ref="A15:H15"/>
    <mergeCell ref="A14:H14"/>
    <mergeCell ref="A16:H16"/>
    <mergeCell ref="A22:H22"/>
    <mergeCell ref="I12:L12"/>
    <mergeCell ref="C112:L112"/>
    <mergeCell ref="A86:L86"/>
    <mergeCell ref="I105:L105"/>
    <mergeCell ref="C81:L81"/>
    <mergeCell ref="C82:L82"/>
    <mergeCell ref="C84:L84"/>
    <mergeCell ref="A77:L77"/>
    <mergeCell ref="E3:N3"/>
    <mergeCell ref="A1:D1"/>
    <mergeCell ref="K1:N1"/>
    <mergeCell ref="A3:D3"/>
    <mergeCell ref="A2:K2"/>
    <mergeCell ref="L2:N2"/>
    <mergeCell ref="A117:L117"/>
    <mergeCell ref="A118:L118"/>
    <mergeCell ref="A119:L119"/>
    <mergeCell ref="E85:L85"/>
    <mergeCell ref="A85:D85"/>
    <mergeCell ref="C83:L83"/>
    <mergeCell ref="A103:L103"/>
    <mergeCell ref="A94:N94"/>
    <mergeCell ref="M92:N92"/>
    <mergeCell ref="A92:L92"/>
    <mergeCell ref="A93:L93"/>
    <mergeCell ref="A89:B89"/>
    <mergeCell ref="C89:N89"/>
    <mergeCell ref="A90:J90"/>
    <mergeCell ref="A88:N88"/>
    <mergeCell ref="A105:H105"/>
    <mergeCell ref="I87:L87"/>
    <mergeCell ref="A87:H87"/>
  </mergeCells>
  <printOptions horizontalCentered="1" verticalCentered="1"/>
  <pageMargins left="0.51181102362204722" right="0.51181102362204722" top="0.35433070866141736" bottom="0.35433070866141736" header="0.31496062992125984" footer="0.31496062992125984"/>
  <pageSetup paperSize="9" scale="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FORM104</vt:lpstr>
    </vt:vector>
  </TitlesOfParts>
  <Company>SRI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mpje050307</dc:creator>
  <cp:lastModifiedBy>JoNaThAn</cp:lastModifiedBy>
  <cp:lastPrinted>2018-12-26T15:11:35Z</cp:lastPrinted>
  <dcterms:created xsi:type="dcterms:W3CDTF">2017-06-29T17:29:17Z</dcterms:created>
  <dcterms:modified xsi:type="dcterms:W3CDTF">2022-12-16T06:13:37Z</dcterms:modified>
</cp:coreProperties>
</file>